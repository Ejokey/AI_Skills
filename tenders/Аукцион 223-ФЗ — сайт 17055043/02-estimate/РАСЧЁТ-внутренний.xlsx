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арамет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₽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C00000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164" fontId="3" fillId="3" borderId="1" pivotButton="0" quotePrefix="0" xfId="0"/>
    <xf numFmtId="164" fontId="0" fillId="0" borderId="0" pivotButton="0" quotePrefix="0" xfId="0"/>
    <xf numFmtId="0" fontId="3" fillId="3" borderId="0" pivotButton="0" quotePrefix="0" xfId="0"/>
    <xf numFmtId="164" fontId="0" fillId="3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1" customWidth="1" min="9" max="9"/>
    <col width="13" customWidth="1" min="10" max="10"/>
  </cols>
  <sheetData>
    <row r="1">
      <c r="A1" s="1" t="inlineStr">
        <is>
          <t>ВНУТРЕННИЙ РАСЧЁТ — тендер 17055043 (АО «Инвест проект», сайт)</t>
        </is>
      </c>
    </row>
    <row r="2">
      <c r="A2" s="2" t="inlineStr">
        <is>
          <t>Юрлицо: AIR / ООО «КСИИ», НДС 0%. Дата: 2026-08-10. НЕ показывать клиенту.</t>
        </is>
      </c>
    </row>
    <row r="4">
      <c r="A4" s="3" t="inlineStr">
        <is>
          <t>НМЦ объявленная (с НДС 22%)</t>
        </is>
      </c>
      <c r="B4" t="inlineStr">
        <is>
          <t>10 838 381,68 ₽</t>
        </is>
      </c>
    </row>
    <row r="5">
      <c r="A5" s="3" t="inlineStr">
        <is>
          <t>Шаг аукциона</t>
        </is>
      </c>
      <c r="B5" t="inlineStr">
        <is>
          <t>0,5–5% от НМЦ (54 192 – 541 919 ₽)</t>
        </is>
      </c>
    </row>
    <row r="6">
      <c r="A6" s="3" t="inlineStr">
        <is>
          <t>Антидемпинговый порог (−25% от НМЦ)</t>
        </is>
      </c>
      <c r="B6" t="inlineStr">
        <is>
          <t>8 128 786,26 ₽</t>
        </is>
      </c>
    </row>
    <row r="7">
      <c r="A7" s="3" t="inlineStr">
        <is>
          <t>Округление в клиентской смете</t>
        </is>
      </c>
      <c r="B7" t="inlineStr">
        <is>
          <t>до десятков тысяч</t>
        </is>
      </c>
    </row>
    <row r="9">
      <c r="A9" s="3" t="inlineStr">
        <is>
          <t>Часы по ролям и этапам</t>
        </is>
      </c>
    </row>
    <row r="10">
      <c r="A10" s="4" t="inlineStr">
        <is>
          <t>Роль</t>
        </is>
      </c>
      <c r="B10" s="4" t="inlineStr">
        <is>
          <t>Ставка ₽/ч</t>
        </is>
      </c>
      <c r="C10" s="4" t="inlineStr">
        <is>
          <t>Этап 1</t>
        </is>
      </c>
      <c r="D10" s="4" t="inlineStr">
        <is>
          <t>Этап 2</t>
        </is>
      </c>
      <c r="E10" s="4" t="inlineStr">
        <is>
          <t>Этап 3</t>
        </is>
      </c>
      <c r="F10" s="4" t="inlineStr">
        <is>
          <t>Этап 4</t>
        </is>
      </c>
      <c r="G10" s="4" t="inlineStr">
        <is>
          <t>Этап 5</t>
        </is>
      </c>
      <c r="H10" s="4" t="inlineStr">
        <is>
          <t>Этап 6</t>
        </is>
      </c>
      <c r="I10" s="4" t="inlineStr">
        <is>
          <t>Часов всего</t>
        </is>
      </c>
      <c r="J10" s="4" t="inlineStr">
        <is>
          <t>Сумма ₽</t>
        </is>
      </c>
    </row>
    <row r="11">
      <c r="A11" s="5" t="inlineStr">
        <is>
          <t>PM</t>
        </is>
      </c>
      <c r="B11" s="5" t="n">
        <v>3000</v>
      </c>
      <c r="C11" s="5" t="n">
        <v>17.6</v>
      </c>
      <c r="D11" s="5" t="n">
        <v>44</v>
      </c>
      <c r="E11" s="5" t="n">
        <v>51</v>
      </c>
      <c r="F11" s="5" t="n">
        <v>0</v>
      </c>
      <c r="G11" s="5" t="n">
        <v>0</v>
      </c>
      <c r="H11" s="5" t="n">
        <v>60</v>
      </c>
      <c r="I11" s="5">
        <f>SUM(C11:H11)</f>
        <v/>
      </c>
      <c r="J11" s="6">
        <f>B11*I11</f>
        <v/>
      </c>
    </row>
    <row r="12">
      <c r="A12" s="5" t="inlineStr">
        <is>
          <t>BA</t>
        </is>
      </c>
      <c r="B12" s="5" t="n">
        <v>3000</v>
      </c>
      <c r="C12" s="5" t="n">
        <v>22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>
        <f>SUM(C12:H12)</f>
        <v/>
      </c>
      <c r="J12" s="6">
        <f>B12*I12</f>
        <v/>
      </c>
    </row>
    <row r="13">
      <c r="A13" s="5" t="inlineStr">
        <is>
          <t>UX/UI</t>
        </is>
      </c>
      <c r="B13" s="5" t="n">
        <v>3000</v>
      </c>
      <c r="C13" s="5" t="n">
        <v>4.4</v>
      </c>
      <c r="D13" s="5" t="n">
        <v>176</v>
      </c>
      <c r="E13" s="5" t="n">
        <v>289</v>
      </c>
      <c r="F13" s="5" t="n">
        <v>0</v>
      </c>
      <c r="G13" s="5" t="n">
        <v>0</v>
      </c>
      <c r="H13" s="5" t="n">
        <v>0</v>
      </c>
      <c r="I13" s="5">
        <f>SUM(C13:H13)</f>
        <v/>
      </c>
      <c r="J13" s="6">
        <f>B13*I13</f>
        <v/>
      </c>
    </row>
    <row r="14">
      <c r="A14" s="5" t="inlineStr">
        <is>
          <t>Frontend</t>
        </is>
      </c>
      <c r="B14" s="5" t="n">
        <v>3500</v>
      </c>
      <c r="C14" s="5" t="n">
        <v>0</v>
      </c>
      <c r="D14" s="5" t="n">
        <v>0</v>
      </c>
      <c r="E14" s="5" t="n">
        <v>0</v>
      </c>
      <c r="F14" s="5" t="n">
        <v>216</v>
      </c>
      <c r="G14" s="5" t="n">
        <v>56</v>
      </c>
      <c r="H14" s="5" t="n">
        <v>60</v>
      </c>
      <c r="I14" s="5">
        <f>SUM(C14:H14)</f>
        <v/>
      </c>
      <c r="J14" s="6">
        <f>B14*I14</f>
        <v/>
      </c>
    </row>
    <row r="15">
      <c r="A15" s="5" t="inlineStr">
        <is>
          <t>Backend</t>
        </is>
      </c>
      <c r="B15" s="5" t="n">
        <v>3500</v>
      </c>
      <c r="C15" s="5" t="n">
        <v>0</v>
      </c>
      <c r="D15" s="5" t="n">
        <v>0</v>
      </c>
      <c r="E15" s="5" t="n">
        <v>0</v>
      </c>
      <c r="F15" s="5" t="n">
        <v>216</v>
      </c>
      <c r="G15" s="5" t="n">
        <v>308</v>
      </c>
      <c r="H15" s="5" t="n">
        <v>84</v>
      </c>
      <c r="I15" s="5">
        <f>SUM(C15:H15)</f>
        <v/>
      </c>
      <c r="J15" s="6">
        <f>B15*I15</f>
        <v/>
      </c>
    </row>
    <row r="16">
      <c r="A16" s="5" t="inlineStr">
        <is>
          <t>QA</t>
        </is>
      </c>
      <c r="B16" s="5" t="n">
        <v>3000</v>
      </c>
      <c r="C16" s="5" t="n">
        <v>0</v>
      </c>
      <c r="D16" s="5" t="n">
        <v>0</v>
      </c>
      <c r="E16" s="5" t="n">
        <v>0</v>
      </c>
      <c r="F16" s="5" t="n">
        <v>48</v>
      </c>
      <c r="G16" s="5" t="n">
        <v>196</v>
      </c>
      <c r="H16" s="5" t="n">
        <v>36</v>
      </c>
      <c r="I16" s="5">
        <f>SUM(C16:H16)</f>
        <v/>
      </c>
      <c r="J16" s="6">
        <f>B16*I16</f>
        <v/>
      </c>
    </row>
    <row r="17">
      <c r="A17" s="7" t="inlineStr">
        <is>
          <t>ИТОГО</t>
        </is>
      </c>
      <c r="B17" s="8" t="n"/>
      <c r="C17" s="8" t="n"/>
      <c r="D17" s="8" t="n"/>
      <c r="E17" s="8" t="n"/>
      <c r="F17" s="8" t="n"/>
      <c r="G17" s="8" t="n"/>
      <c r="H17" s="8" t="n"/>
      <c r="I17" s="7">
        <f>SUM(I11:I16)</f>
        <v/>
      </c>
      <c r="J17" s="9">
        <f>SUM(J11:J16)</f>
        <v/>
      </c>
    </row>
    <row r="19">
      <c r="A19" s="3" t="inlineStr">
        <is>
          <t>Себестоимость по труду</t>
        </is>
      </c>
      <c r="B19" s="10">
        <f>J17</f>
        <v/>
      </c>
    </row>
    <row r="20">
      <c r="A20" t="inlineStr">
        <is>
          <t>Управленческая надбавка (15%)</t>
        </is>
      </c>
      <c r="B20" s="10">
        <f>B19*0.15</f>
        <v/>
      </c>
    </row>
    <row r="21">
      <c r="A21" t="inlineStr">
        <is>
          <t>Резерв на риски (10%)</t>
        </is>
      </c>
      <c r="B21" s="10">
        <f>B19*0.10</f>
        <v/>
      </c>
    </row>
    <row r="22">
      <c r="A22" s="3" t="inlineStr">
        <is>
          <t>Подытог (себестоимость + надбавки)</t>
        </is>
      </c>
      <c r="B22" s="10">
        <f>B19+B20+B21</f>
        <v/>
      </c>
    </row>
    <row r="23">
      <c r="A23" t="inlineStr">
        <is>
          <t>Минимальная маржа (20%)</t>
        </is>
      </c>
      <c r="B23" s="10">
        <f>B22*0.20</f>
        <v/>
      </c>
    </row>
    <row r="24">
      <c r="A24" s="11" t="inlineStr">
        <is>
          <t>ИТОГОВАЯ ЦЕНА (без НДС)</t>
        </is>
      </c>
      <c r="B24" s="12">
        <f>B22+B23</f>
        <v/>
      </c>
    </row>
    <row r="25">
      <c r="A25" s="13" t="inlineStr">
        <is>
          <t>Округление до десятков тысяч → 9 180 000 ₽</t>
        </is>
      </c>
    </row>
    <row r="27">
      <c r="A27" s="3" t="inlineStr">
        <is>
          <t>Минимальная цена без прибыли (себестоимость + надбавки, без маржи):</t>
        </is>
      </c>
      <c r="B27" s="10">
        <f>B22</f>
        <v/>
      </c>
    </row>
    <row r="29">
      <c r="A29" s="13" t="inlineStr">
        <is>
          <t>Проверка потолка: реальный потолок аукциона — полная НМЦ 10 838 381,68 ₽ (не «НМЦ минус НДС»).</t>
        </is>
      </c>
    </row>
    <row r="30">
      <c r="A30" s="13" t="inlineStr">
        <is>
          <t>9 180 000 ₽ ниже потолка на ~15% — запас есть, наценку резать не пришлось.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2026-08-10T13:53:12Z</dcterms:created>
  <dcterms:modified xmlns:dcterms="http://purl.org/dc/terms/" xmlns:xsi="http://www.w3.org/2001/XMLSchema-instance" xsi:type="dcterms:W3CDTF">2026-08-10T13:53:12Z</dcterms:modified>
</cp:coreProperties>
</file>