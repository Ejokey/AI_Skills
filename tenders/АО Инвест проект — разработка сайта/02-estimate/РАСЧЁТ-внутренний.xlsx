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удоёмкость" sheetId="1" state="visible" r:id="rId1"/>
    <sheet name="Аукцион — шаги" sheetId="2" state="visible" r:id="rId2"/>
    <sheet name="Допуще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C00000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3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3" fontId="3" fillId="4" borderId="1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9" fontId="0" fillId="0" borderId="1" pivotButton="0" quotePrefix="0" xfId="0"/>
    <xf numFmtId="9" fontId="0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8" customWidth="1" min="3" max="3"/>
    <col width="12" customWidth="1" min="4" max="4"/>
    <col width="13" customWidth="1" min="5" max="5"/>
    <col width="55" customWidth="1" min="6" max="6"/>
  </cols>
  <sheetData>
    <row r="1">
      <c r="A1" s="1" t="inlineStr">
        <is>
          <t>АО «Инвест проект» — разработка сайта. Внутренний расчёт себестоимости</t>
        </is>
      </c>
    </row>
    <row r="2">
      <c r="A2" s="2" t="inlineStr">
        <is>
          <t>Себестоимость по труду: часы × внутренняя ставка. Не выдавать клиенту ни в каком виде.</t>
        </is>
      </c>
    </row>
    <row r="4">
      <c r="A4" s="3" t="inlineStr">
        <is>
          <t>Этап (по ТЗ)</t>
        </is>
      </c>
      <c r="B4" s="3" t="inlineStr">
        <is>
          <t>Роль</t>
        </is>
      </c>
      <c r="C4" s="3" t="inlineStr">
        <is>
          <t>Часы</t>
        </is>
      </c>
      <c r="D4" s="3" t="inlineStr">
        <is>
          <t>Ставка, ₽/ч</t>
        </is>
      </c>
      <c r="E4" s="3" t="inlineStr">
        <is>
          <t>Сумма, ₽</t>
        </is>
      </c>
      <c r="F4" s="3" t="inlineStr">
        <is>
          <t>Комментарий / допущение</t>
        </is>
      </c>
    </row>
    <row r="5">
      <c r="A5" s="4" t="inlineStr">
        <is>
          <t>Этап 1 — Аналитика и прототип (1–10 раб.дн.)</t>
        </is>
      </c>
      <c r="B5" s="5" t="inlineStr">
        <is>
          <t>Бизнес-аналитик</t>
        </is>
      </c>
      <c r="C5" s="5" t="n">
        <v>60</v>
      </c>
      <c r="D5" s="5" t="n">
        <v>3000</v>
      </c>
      <c r="E5" s="6">
        <f>C5*D5</f>
        <v/>
      </c>
      <c r="F5" s="7" t="inlineStr">
        <is>
          <t>Сбор требований, детализация структуры разделов из п.3.4 ТЗ, схема сущностей</t>
        </is>
      </c>
    </row>
    <row r="6">
      <c r="B6" s="8" t="inlineStr">
        <is>
          <t>UX-дизайнер</t>
        </is>
      </c>
      <c r="C6" s="8" t="n">
        <v>50</v>
      </c>
      <c r="D6" s="8" t="n">
        <v>3000</v>
      </c>
      <c r="E6" s="9">
        <f>C6*D6</f>
        <v/>
      </c>
      <c r="F6" s="10" t="inlineStr">
        <is>
          <t>Прототипы/вайрфреймы — только десктоп (правило memory/rules.md), ~15 типов экранов</t>
        </is>
      </c>
    </row>
    <row r="7">
      <c r="B7" s="8" t="inlineStr">
        <is>
          <t>Проектный менеджер</t>
        </is>
      </c>
      <c r="C7" s="8" t="n">
        <v>16</v>
      </c>
      <c r="D7" s="8" t="n">
        <v>3000</v>
      </c>
      <c r="E7" s="9">
        <f>C7*D7</f>
        <v/>
      </c>
      <c r="F7" s="10" t="inlineStr">
        <is>
          <t>График работ, согласования</t>
        </is>
      </c>
    </row>
    <row r="8">
      <c r="A8" s="4" t="inlineStr">
        <is>
          <t>Этап 2 — Айдентика (10–45 раб.дн.)</t>
        </is>
      </c>
      <c r="B8" s="5" t="inlineStr">
        <is>
          <t>Бренд-дизайнер</t>
        </is>
      </c>
      <c r="C8" s="5" t="n">
        <v>40</v>
      </c>
      <c r="D8" s="5" t="n">
        <v>3000</v>
      </c>
      <c r="E8" s="6">
        <f>C8*D8</f>
        <v/>
      </c>
      <c r="F8" s="7" t="inlineStr">
        <is>
          <t>Носители фирменного стиля</t>
        </is>
      </c>
    </row>
    <row r="9">
      <c r="B9" s="8" t="inlineStr">
        <is>
          <t>Бренд-дизайнер</t>
        </is>
      </c>
      <c r="C9" s="8" t="n">
        <v>24</v>
      </c>
      <c r="D9" s="8" t="n">
        <v>3000</v>
      </c>
      <c r="E9" s="9">
        <f>C9*D9</f>
        <v/>
      </c>
      <c r="F9" s="10" t="inlineStr">
        <is>
          <t>Шаблоны презентаций и макеты рекламных форматов</t>
        </is>
      </c>
    </row>
    <row r="10">
      <c r="B10" s="8" t="inlineStr">
        <is>
          <t>Бренд-дизайнер</t>
        </is>
      </c>
      <c r="C10" s="8" t="n">
        <v>45</v>
      </c>
      <c r="D10" s="8" t="n">
        <v>3000</v>
      </c>
      <c r="E10" s="9">
        <f>C10*D10</f>
        <v/>
      </c>
      <c r="F10" s="10" t="inlineStr">
        <is>
          <t>Сувенирная продукция: 5 позиций (ручка, блокнот, пакет, футболка, толстовка) × 3 варианта × 3ч</t>
        </is>
      </c>
    </row>
    <row r="11">
      <c r="B11" s="8" t="inlineStr">
        <is>
          <t>Бренд-дизайнер</t>
        </is>
      </c>
      <c r="C11" s="8" t="n">
        <v>24</v>
      </c>
      <c r="D11" s="8" t="n">
        <v>3000</v>
      </c>
      <c r="E11" s="9">
        <f>C11*D11</f>
        <v/>
      </c>
      <c r="F11" s="10" t="inlineStr">
        <is>
          <t>Гайдбук — вёрстка руководства по стилю</t>
        </is>
      </c>
    </row>
    <row r="12">
      <c r="B12" s="8" t="inlineStr">
        <is>
          <t>Проектный менеджер</t>
        </is>
      </c>
      <c r="C12" s="8" t="n">
        <v>10</v>
      </c>
      <c r="D12" s="8" t="n">
        <v>3000</v>
      </c>
      <c r="E12" s="9">
        <f>C12*D12</f>
        <v/>
      </c>
      <c r="F12" s="10" t="inlineStr">
        <is>
          <t>Согласования с заказчиком</t>
        </is>
      </c>
    </row>
    <row r="13">
      <c r="A13" s="4" t="inlineStr">
        <is>
          <t>Этап 3 — Дизайн-макеты страниц (25–60 раб.дн.)</t>
        </is>
      </c>
      <c r="B13" s="5" t="inlineStr">
        <is>
          <t>UX/UI-дизайнер</t>
        </is>
      </c>
      <c r="C13" s="5" t="n">
        <v>16</v>
      </c>
      <c r="D13" s="5" t="n">
        <v>3000</v>
      </c>
      <c r="E13" s="6">
        <f>C13*D13</f>
        <v/>
      </c>
      <c r="F13" s="7" t="inlineStr">
        <is>
          <t>Дизайн-концепция стартовой страницы</t>
        </is>
      </c>
    </row>
    <row r="14">
      <c r="B14" s="8" t="inlineStr">
        <is>
          <t>UX/UI-дизайнер</t>
        </is>
      </c>
      <c r="C14" s="8" t="n">
        <v>160</v>
      </c>
      <c r="D14" s="8" t="n">
        <v>3000</v>
      </c>
      <c r="E14" s="9">
        <f>C14*D14</f>
        <v/>
      </c>
      <c r="F14" s="10" t="inlineStr">
        <is>
          <t>Дизайн-макеты ~20 уникальных типов страниц (десктоп+моб.), ~8ч/экран — оценка по составу разделов п.3.4 ТЗ</t>
        </is>
      </c>
    </row>
    <row r="15">
      <c r="B15" s="8" t="inlineStr">
        <is>
          <t>UX/UI-дизайнер</t>
        </is>
      </c>
      <c r="C15" s="8" t="n">
        <v>15</v>
      </c>
      <c r="D15" s="8" t="n">
        <v>3000</v>
      </c>
      <c r="E15" s="9">
        <f>C15*D15</f>
        <v/>
      </c>
      <c r="F15" s="10" t="inlineStr">
        <is>
          <t>3 доп. универсальных шаблона страниц</t>
        </is>
      </c>
    </row>
    <row r="16">
      <c r="B16" s="8" t="inlineStr">
        <is>
          <t>Проектный менеджер</t>
        </is>
      </c>
      <c r="C16" s="8" t="n">
        <v>12</v>
      </c>
      <c r="D16" s="8" t="n">
        <v>3000</v>
      </c>
      <c r="E16" s="9">
        <f>C16*D16</f>
        <v/>
      </c>
      <c r="F16" s="10" t="inlineStr">
        <is>
          <t>Согласования, приёмка макетов</t>
        </is>
      </c>
    </row>
    <row r="17">
      <c r="A17" s="4" t="inlineStr">
        <is>
          <t>Этап 4 — Frontend-вёрстка и тестирование (40–80 раб.дн.)</t>
        </is>
      </c>
      <c r="B17" s="5" t="inlineStr">
        <is>
          <t>Frontend-разработчик</t>
        </is>
      </c>
      <c r="C17" s="5" t="n">
        <v>200</v>
      </c>
      <c r="D17" s="5" t="n">
        <v>3500</v>
      </c>
      <c r="E17" s="6">
        <f>C17*D17</f>
        <v/>
      </c>
      <c r="F17" s="7" t="inlineStr">
        <is>
          <t>Адаптивная вёрстка ~20 экранов × 10ч — оценка</t>
        </is>
      </c>
    </row>
    <row r="18">
      <c r="B18" s="8" t="inlineStr">
        <is>
          <t>QA-инженер</t>
        </is>
      </c>
      <c r="C18" s="8" t="n">
        <v>40</v>
      </c>
      <c r="D18" s="8" t="n">
        <v>3000</v>
      </c>
      <c r="E18" s="9">
        <f>C18*D18</f>
        <v/>
      </c>
      <c r="F18" s="10" t="inlineStr">
        <is>
          <t>Кроссбраузерное тестирование вёрстки (4 десктоп + 3 моб. браузера)</t>
        </is>
      </c>
    </row>
    <row r="19">
      <c r="B19" s="8" t="inlineStr">
        <is>
          <t>Проектный менеджер</t>
        </is>
      </c>
      <c r="C19" s="8" t="n">
        <v>10</v>
      </c>
      <c r="D19" s="8" t="n">
        <v>3000</v>
      </c>
      <c r="E19" s="9">
        <f>C19*D19</f>
        <v/>
      </c>
      <c r="F19" s="10" t="inlineStr">
        <is>
          <t>Координация, демонстрация</t>
        </is>
      </c>
    </row>
    <row r="20">
      <c r="A20" s="4" t="inlineStr">
        <is>
          <t>Этап 5 — Программирование и запуск на 1С-Битрикс (50–90 раб.дн.)</t>
        </is>
      </c>
      <c r="B20" s="5" t="inlineStr">
        <is>
          <t>Backend-разработчик (1С-Битрикс)</t>
        </is>
      </c>
      <c r="C20" s="5" t="n">
        <v>260</v>
      </c>
      <c r="D20" s="5" t="n">
        <v>3500</v>
      </c>
      <c r="E20" s="6">
        <f>C20*D20</f>
        <v/>
      </c>
      <c r="F20" s="7" t="inlineStr">
        <is>
          <t>Динамические разделы: реестр студий+рейтинг, ЛК студии/производителя, конкурсы (полный модуль), вакансии, стажировки, медиа, формы КП/эксп.анализа, админ-панель. Допущение: заказчик даёт готовые инфоблоки/элементы платформы (п.3.1.5 ТЗ) — часть логики переиспользуется, не пишется с нуля</t>
        </is>
      </c>
    </row>
    <row r="21">
      <c r="B21" s="8" t="inlineStr">
        <is>
          <t>Frontend-разработчик</t>
        </is>
      </c>
      <c r="C21" s="8" t="n">
        <v>40</v>
      </c>
      <c r="D21" s="8" t="n">
        <v>3500</v>
      </c>
      <c r="E21" s="9">
        <f>C21*D21</f>
        <v/>
      </c>
      <c r="F21" s="10" t="inlineStr">
        <is>
          <t>Клиентская логика для динамических разделов</t>
        </is>
      </c>
    </row>
    <row r="22">
      <c r="B22" s="8" t="inlineStr">
        <is>
          <t>QA-инженер</t>
        </is>
      </c>
      <c r="C22" s="8" t="n">
        <v>24</v>
      </c>
      <c r="D22" s="8" t="n">
        <v>3000</v>
      </c>
      <c r="E22" s="9">
        <f>C22*D22</f>
        <v/>
      </c>
      <c r="F22" s="10" t="inlineStr">
        <is>
          <t>Приёмочные испытания, протокол тестирования</t>
        </is>
      </c>
    </row>
    <row r="23">
      <c r="B23" s="8" t="inlineStr">
        <is>
          <t>Проектный менеджер</t>
        </is>
      </c>
      <c r="C23" s="8" t="n">
        <v>12</v>
      </c>
      <c r="D23" s="8" t="n">
        <v>3000</v>
      </c>
      <c r="E23" s="9">
        <f>C23*D23</f>
        <v/>
      </c>
      <c r="F23" s="10" t="inlineStr">
        <is>
          <t>Организация испытаний, акт по этапу</t>
        </is>
      </c>
    </row>
    <row r="24">
      <c r="A24" s="4" t="inlineStr">
        <is>
          <t>Этап 6 — Техподдержка, 240ч фиксировано ТЗ (90–220 раб.дн., 130 раб.дн. с момента запуска)</t>
        </is>
      </c>
      <c r="B24" s="5" t="inlineStr">
        <is>
          <t>Смешанная команда (FE/BE/дизайн/QA/PM)</t>
        </is>
      </c>
      <c r="C24" s="5" t="n">
        <v>240</v>
      </c>
      <c r="D24" s="5" t="n">
        <v>3350</v>
      </c>
      <c r="E24" s="6">
        <f>C24*D24</f>
        <v/>
      </c>
      <c r="F24" s="7" t="inlineStr">
        <is>
          <t>Средневзвешенная ставка команды поддержки (микс ролей согласно п.3.1.6 ТЗ: проектирование, дизайн, фронтенд, бэкенд, тестирование, управление проектом). Часы фиксированы заказчиком в ТЗ, ставка — оценка</t>
        </is>
      </c>
    </row>
    <row r="26">
      <c r="A26" s="11" t="inlineStr">
        <is>
          <t>ИТОГО себестоимость по труду (точка безубыточности)</t>
        </is>
      </c>
      <c r="B26" s="12" t="n"/>
      <c r="C26" s="11">
        <f>SUM(C5:C24)</f>
        <v/>
      </c>
      <c r="D26" s="12" t="n"/>
      <c r="E26" s="13">
        <f>SUM(E5:E24)</f>
        <v/>
      </c>
      <c r="F26" s="12" t="n"/>
    </row>
    <row r="27">
      <c r="A27" t="inlineStr">
        <is>
          <t>Управленческая надбавка (15% от себестоимости по труду)</t>
        </is>
      </c>
      <c r="E27">
        <f>E26*0.15</f>
        <v/>
      </c>
    </row>
    <row r="28" ht="60" customHeight="1">
      <c r="A28" t="inlineStr">
        <is>
          <t>Резерв на риски (10% от себестоимости по труду)</t>
        </is>
      </c>
      <c r="E28">
        <f>E26*0.10</f>
        <v/>
      </c>
    </row>
    <row r="29">
      <c r="A29" s="17" t="inlineStr">
        <is>
          <t>ИТОГО расчётная цена (себестоимость + надбавка + резерв) — минимальная цена продажи</t>
        </is>
      </c>
      <c r="E29" s="17">
        <f>E26+E27+E28</f>
        <v/>
      </c>
    </row>
    <row r="30">
      <c r="A30" t="inlineStr">
        <is>
          <t>Проверка: маржа = (цена - себестоимость) / цена</t>
        </is>
      </c>
      <c r="E30" s="25">
        <f>(E29-E26)/E29</f>
        <v/>
      </c>
      <c r="F30" t="inlineStr">
        <is>
          <t>Минимум по memory/pricing.md — 20%. При 15%+10% поверх себестоимости маржа = 25%/125% = 20,0% ровно — минимально допустимая, без запаса</t>
        </is>
      </c>
    </row>
    <row r="33">
      <c r="A33" s="14" t="inlineStr">
        <is>
          <t>Параметры из memory/pricing.md, раздел 2 (заполнено руководителем 2026-08-06): управленческая надбавка 15%, резерв на риски 10%, минимальная маржа 20%. Итоговая расчётная цена 5 285 000 ₽ (округлено до тысяч) — это минимальная цена продажи, ниже которой участие не имеет смысла без отдельного решения руководителя (маржа ровно на пороге 20%, без запаса). Правило округления в pricing.md не задано — округлено до тысяч самостоятельно, сумма итога кратна тысяче.</t>
        </is>
      </c>
    </row>
  </sheetData>
  <mergeCells count="1">
    <mergeCell ref="A33:F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60" customWidth="1" min="4" max="4"/>
  </cols>
  <sheetData>
    <row r="1">
      <c r="A1" s="1" t="inlineStr">
        <is>
          <t>Шаги понижения от НМЦ (аукцион 19.08.2026)</t>
        </is>
      </c>
    </row>
    <row r="2">
      <c r="A2" s="15" t="inlineStr">
        <is>
          <t>НМЦ = 10 838 381.68 ₽ (с НДС 22% — но это НДС заказчика/других участников  не наш; для AIR НДС 0%  потолок цены контракта тот же — НМЦ)</t>
        </is>
      </c>
      <c r="B2" s="16" t="n">
        <v>10838381.68</v>
      </c>
    </row>
    <row r="3">
      <c r="A3" s="15" t="inlineStr">
        <is>
          <t>Себестоимость по труду (точка безубыточности) — см. лист «Трудоёмкость», ячейка E-итог</t>
        </is>
      </c>
      <c r="B3">
        <f>'Трудоёмкость'!E26</f>
        <v/>
      </c>
    </row>
    <row r="4">
      <c r="A4" t="inlineStr">
        <is>
          <t>Минимальная цена продажи (себестоимость + надбавка 15% + резерв 10%, маржа ровно 20%) — новый критический пол</t>
        </is>
      </c>
      <c r="B4">
        <f>'Трудоёмкость'!E29</f>
        <v/>
      </c>
    </row>
    <row r="5">
      <c r="A5" s="17" t="inlineStr">
        <is>
          <t>Таблица A — шаг 5% от НМЦ</t>
        </is>
      </c>
    </row>
    <row r="6">
      <c r="A6" s="3" t="inlineStr">
        <is>
          <t>% от НМЦ</t>
        </is>
      </c>
      <c r="B6" s="3" t="inlineStr">
        <is>
          <t>Цена, ₽</t>
        </is>
      </c>
      <c r="C6" s="3" t="inlineStr">
        <is>
          <t>Снижение от НМЦ, ₽</t>
        </is>
      </c>
      <c r="D6" s="3" t="inlineStr">
        <is>
          <t>Комментарий</t>
        </is>
      </c>
    </row>
    <row r="7">
      <c r="A7" s="18" t="n">
        <v>1</v>
      </c>
      <c r="B7" s="9">
        <f>$B$2*A7</f>
        <v/>
      </c>
      <c r="C7" s="9">
        <f>$B$2-B7</f>
        <v/>
      </c>
      <c r="D7" t="inlineStr">
        <is>
          <t>старт торгов — типично начинают здесь или чуть ниже</t>
        </is>
      </c>
    </row>
    <row r="8">
      <c r="A8" s="18" t="n">
        <v>0.95</v>
      </c>
      <c r="B8" s="9">
        <f>$B$2*A8</f>
        <v/>
      </c>
      <c r="C8" s="9">
        <f>$B$2-B8</f>
        <v/>
      </c>
    </row>
    <row r="9">
      <c r="A9" s="18" t="n">
        <v>0.9</v>
      </c>
      <c r="B9" s="9">
        <f>$B$2*A9</f>
        <v/>
      </c>
      <c r="C9" s="9">
        <f>$B$2-B9</f>
        <v/>
      </c>
    </row>
    <row r="10">
      <c r="A10" s="18" t="n">
        <v>0.85</v>
      </c>
      <c r="B10" s="9">
        <f>$B$2*A10</f>
        <v/>
      </c>
      <c r="C10" s="9">
        <f>$B$2-B10</f>
        <v/>
      </c>
    </row>
    <row r="11">
      <c r="A11" s="18" t="n">
        <v>0.8</v>
      </c>
      <c r="B11" s="9">
        <f>$B$2*A11</f>
        <v/>
      </c>
      <c r="C11" s="9">
        <f>$B$2-B11</f>
        <v/>
      </c>
    </row>
    <row r="12">
      <c r="A12" s="18" t="n">
        <v>0.75</v>
      </c>
      <c r="B12" s="9">
        <f>$B$2*A12</f>
        <v/>
      </c>
      <c r="C12" s="9">
        <f>$B$2-B12</f>
        <v/>
      </c>
    </row>
    <row r="13">
      <c r="A13" s="18" t="n">
        <v>0.7</v>
      </c>
      <c r="B13" s="9">
        <f>$B$2*A13</f>
        <v/>
      </c>
      <c r="C13" s="9">
        <f>$B$2-B13</f>
        <v/>
      </c>
    </row>
    <row r="14">
      <c r="A14" s="18" t="n">
        <v>0.65</v>
      </c>
      <c r="B14" s="9">
        <f>$B$2*A14</f>
        <v/>
      </c>
      <c r="C14" s="9">
        <f>$B$2-B14</f>
        <v/>
      </c>
    </row>
    <row r="15">
      <c r="A15" s="18" t="n">
        <v>0.6</v>
      </c>
      <c r="B15" s="9">
        <f>$B$2*A15</f>
        <v/>
      </c>
      <c r="C15" s="9">
        <f>$B$2-B15</f>
        <v/>
      </c>
    </row>
    <row r="16">
      <c r="A16" s="18" t="n">
        <v>0.55</v>
      </c>
      <c r="B16" s="9">
        <f>$B$2*A16</f>
        <v/>
      </c>
      <c r="C16" s="9">
        <f>$B$2-B16</f>
        <v/>
      </c>
    </row>
    <row r="17">
      <c r="A17" s="18" t="n">
        <v>0.5</v>
      </c>
      <c r="B17" s="9">
        <f>$B$2*A17</f>
        <v/>
      </c>
      <c r="C17" s="9">
        <f>$B$2-B17</f>
        <v/>
      </c>
      <c r="D17" t="inlineStr">
        <is>
          <t>выше нового критического пола (см. B4) — маржа выше 20%</t>
        </is>
      </c>
    </row>
    <row r="18">
      <c r="A18" t="n">
        <v>0.487619</v>
      </c>
      <c r="B18">
        <f>$B$2*A18</f>
        <v/>
      </c>
      <c r="C18">
        <f>$B$2-B18</f>
        <v/>
      </c>
      <c r="D18" t="inlineStr">
        <is>
          <t>НОВЫЙ КРИТИЧЕСКИЙ ПОЛ = минимальная цена продажи 5 285 000 ₽ (маржа ровно 20%, без запаса) — на аукционе не опускаться ниже этой цены без решения руководителя</t>
        </is>
      </c>
    </row>
    <row r="19">
      <c r="A19" s="18" t="n">
        <v>0.45</v>
      </c>
      <c r="B19" s="9">
        <f>$B$2*A19</f>
        <v/>
      </c>
      <c r="C19" s="9">
        <f>$B$2-B19</f>
        <v/>
      </c>
      <c r="D19" t="inlineStr">
        <is>
          <t>ниже нового критического пола (см. B4) — маржа менее 20%, не опускаться без решения руководителя</t>
        </is>
      </c>
    </row>
    <row r="20">
      <c r="A20" s="19" t="n">
        <v>0.4</v>
      </c>
      <c r="B20" s="20">
        <f>$B$2*A20</f>
        <v/>
      </c>
      <c r="C20" s="20">
        <f>$B$2-B20</f>
        <v/>
      </c>
      <c r="D20" s="21" t="inlineStr">
        <is>
          <t>себестоимость по труду без надбавки/резерва (абсолютный минимум, не цена продажи) — см. лист «Трудоёмкость»</t>
        </is>
      </c>
    </row>
    <row r="21">
      <c r="A21" s="18" t="n">
        <v>0.35</v>
      </c>
      <c r="B21" s="9">
        <f>$B$2*A21</f>
        <v/>
      </c>
      <c r="C21" s="9">
        <f>$B$2-B21</f>
        <v/>
      </c>
      <c r="D21" t="inlineStr">
        <is>
          <t>ниже себестоимости — убыток</t>
        </is>
      </c>
    </row>
    <row r="22">
      <c r="A22" s="18" t="n">
        <v>0.3</v>
      </c>
      <c r="B22" s="9">
        <f>$B$2*A22</f>
        <v/>
      </c>
      <c r="C22" s="9">
        <f>$B$2-B22</f>
        <v/>
      </c>
      <c r="D22" t="inlineStr">
        <is>
          <t>ниже себестоимости — убыток</t>
        </is>
      </c>
    </row>
    <row r="25">
      <c r="A25" s="17" t="inlineStr">
        <is>
          <t>Таблица B — шаг 0,5% от НМЦ (первые 30 шагов, реалистичный диапазон начала торгов)</t>
        </is>
      </c>
    </row>
    <row r="26">
      <c r="A26" s="3" t="inlineStr">
        <is>
          <t>% от НМЦ</t>
        </is>
      </c>
      <c r="B26" s="3" t="inlineStr">
        <is>
          <t>Цена, ₽</t>
        </is>
      </c>
      <c r="C26" s="3" t="inlineStr">
        <is>
          <t>Снижение от НМЦ, ₽</t>
        </is>
      </c>
      <c r="D26" s="3" t="inlineStr">
        <is>
          <t>Новый критический пол (48,76% от НМЦ, минимальная цена продажи 5 285 000 руб.) в этот диапазон не попадает — см. Таблицу A, строка с A=0,4876</t>
        </is>
      </c>
    </row>
    <row r="27">
      <c r="A27" s="22" t="n">
        <v>1</v>
      </c>
      <c r="B27" s="9">
        <f>$B$2*A27</f>
        <v/>
      </c>
      <c r="C27" s="9">
        <f>$B$2-B27</f>
        <v/>
      </c>
    </row>
    <row r="28">
      <c r="A28" s="22" t="n">
        <v>0.995</v>
      </c>
      <c r="B28" s="9">
        <f>$B$2*A28</f>
        <v/>
      </c>
      <c r="C28" s="9">
        <f>$B$2-B28</f>
        <v/>
      </c>
    </row>
    <row r="29">
      <c r="A29" s="22" t="n">
        <v>0.99</v>
      </c>
      <c r="B29" s="9">
        <f>$B$2*A29</f>
        <v/>
      </c>
      <c r="C29" s="9">
        <f>$B$2-B29</f>
        <v/>
      </c>
    </row>
    <row r="30">
      <c r="A30" s="22" t="n">
        <v>0.985</v>
      </c>
      <c r="B30" s="9">
        <f>$B$2*A30</f>
        <v/>
      </c>
      <c r="C30" s="9">
        <f>$B$2-B30</f>
        <v/>
      </c>
    </row>
    <row r="31">
      <c r="A31" s="22" t="n">
        <v>0.98</v>
      </c>
      <c r="B31" s="9">
        <f>$B$2*A31</f>
        <v/>
      </c>
      <c r="C31" s="9">
        <f>$B$2-B31</f>
        <v/>
      </c>
    </row>
    <row r="32">
      <c r="A32" s="22" t="n">
        <v>0.975</v>
      </c>
      <c r="B32" s="9">
        <f>$B$2*A32</f>
        <v/>
      </c>
      <c r="C32" s="9">
        <f>$B$2-B32</f>
        <v/>
      </c>
    </row>
    <row r="33">
      <c r="A33" s="22" t="n">
        <v>0.97</v>
      </c>
      <c r="B33" s="9">
        <f>$B$2*A33</f>
        <v/>
      </c>
      <c r="C33" s="9">
        <f>$B$2-B33</f>
        <v/>
      </c>
    </row>
    <row r="34">
      <c r="A34" s="22" t="n">
        <v>0.965</v>
      </c>
      <c r="B34" s="9">
        <f>$B$2*A34</f>
        <v/>
      </c>
      <c r="C34" s="9">
        <f>$B$2-B34</f>
        <v/>
      </c>
    </row>
    <row r="35">
      <c r="A35" s="22" t="n">
        <v>0.96</v>
      </c>
      <c r="B35" s="9">
        <f>$B$2*A35</f>
        <v/>
      </c>
      <c r="C35" s="9">
        <f>$B$2-B35</f>
        <v/>
      </c>
    </row>
    <row r="36">
      <c r="A36" s="22" t="n">
        <v>0.955</v>
      </c>
      <c r="B36" s="9">
        <f>$B$2*A36</f>
        <v/>
      </c>
      <c r="C36" s="9">
        <f>$B$2-B36</f>
        <v/>
      </c>
    </row>
    <row r="37">
      <c r="A37" s="22" t="n">
        <v>0.95</v>
      </c>
      <c r="B37" s="9">
        <f>$B$2*A37</f>
        <v/>
      </c>
      <c r="C37" s="9">
        <f>$B$2-B37</f>
        <v/>
      </c>
    </row>
    <row r="38">
      <c r="A38" s="22" t="n">
        <v>0.945</v>
      </c>
      <c r="B38" s="9">
        <f>$B$2*A38</f>
        <v/>
      </c>
      <c r="C38" s="9">
        <f>$B$2-B38</f>
        <v/>
      </c>
    </row>
    <row r="39">
      <c r="A39" s="22" t="n">
        <v>0.9399999999999999</v>
      </c>
      <c r="B39" s="9">
        <f>$B$2*A39</f>
        <v/>
      </c>
      <c r="C39" s="9">
        <f>$B$2-B39</f>
        <v/>
      </c>
    </row>
    <row r="40">
      <c r="A40" s="22" t="n">
        <v>0.9350000000000001</v>
      </c>
      <c r="B40" s="9">
        <f>$B$2*A40</f>
        <v/>
      </c>
      <c r="C40" s="9">
        <f>$B$2-B40</f>
        <v/>
      </c>
    </row>
    <row r="41">
      <c r="A41" s="22" t="n">
        <v>0.93</v>
      </c>
      <c r="B41" s="9">
        <f>$B$2*A41</f>
        <v/>
      </c>
      <c r="C41" s="9">
        <f>$B$2-B41</f>
        <v/>
      </c>
    </row>
    <row r="42">
      <c r="A42" s="22" t="n">
        <v>0.925</v>
      </c>
      <c r="B42" s="9">
        <f>$B$2*A42</f>
        <v/>
      </c>
      <c r="C42" s="9">
        <f>$B$2-B42</f>
        <v/>
      </c>
    </row>
    <row r="43">
      <c r="A43" s="22" t="n">
        <v>0.92</v>
      </c>
      <c r="B43" s="9">
        <f>$B$2*A43</f>
        <v/>
      </c>
      <c r="C43" s="9">
        <f>$B$2-B43</f>
        <v/>
      </c>
    </row>
    <row r="44">
      <c r="A44" s="22" t="n">
        <v>0.915</v>
      </c>
      <c r="B44" s="9">
        <f>$B$2*A44</f>
        <v/>
      </c>
      <c r="C44" s="9">
        <f>$B$2-B44</f>
        <v/>
      </c>
    </row>
    <row r="45">
      <c r="A45" s="22" t="n">
        <v>0.91</v>
      </c>
      <c r="B45" s="9">
        <f>$B$2*A45</f>
        <v/>
      </c>
      <c r="C45" s="9">
        <f>$B$2-B45</f>
        <v/>
      </c>
    </row>
    <row r="46">
      <c r="A46" s="22" t="n">
        <v>0.905</v>
      </c>
      <c r="B46" s="9">
        <f>$B$2*A46</f>
        <v/>
      </c>
      <c r="C46" s="9">
        <f>$B$2-B46</f>
        <v/>
      </c>
    </row>
    <row r="47">
      <c r="A47" s="22" t="n">
        <v>0.9</v>
      </c>
      <c r="B47" s="9">
        <f>$B$2*A47</f>
        <v/>
      </c>
      <c r="C47" s="9">
        <f>$B$2-B47</f>
        <v/>
      </c>
    </row>
    <row r="48">
      <c r="A48" s="22" t="n">
        <v>0.895</v>
      </c>
      <c r="B48" s="9">
        <f>$B$2*A48</f>
        <v/>
      </c>
      <c r="C48" s="9">
        <f>$B$2-B48</f>
        <v/>
      </c>
    </row>
    <row r="49">
      <c r="A49" s="22" t="n">
        <v>0.89</v>
      </c>
      <c r="B49" s="9">
        <f>$B$2*A49</f>
        <v/>
      </c>
      <c r="C49" s="9">
        <f>$B$2-B49</f>
        <v/>
      </c>
    </row>
    <row r="50">
      <c r="A50" s="22" t="n">
        <v>0.885</v>
      </c>
      <c r="B50" s="9">
        <f>$B$2*A50</f>
        <v/>
      </c>
      <c r="C50" s="9">
        <f>$B$2-B50</f>
        <v/>
      </c>
    </row>
    <row r="51">
      <c r="A51" s="22" t="n">
        <v>0.88</v>
      </c>
      <c r="B51" s="9">
        <f>$B$2*A51</f>
        <v/>
      </c>
      <c r="C51" s="9">
        <f>$B$2-B51</f>
        <v/>
      </c>
    </row>
    <row r="52">
      <c r="A52" s="22" t="n">
        <v>0.875</v>
      </c>
      <c r="B52" s="9">
        <f>$B$2*A52</f>
        <v/>
      </c>
      <c r="C52" s="9">
        <f>$B$2-B52</f>
        <v/>
      </c>
    </row>
    <row r="53">
      <c r="A53" s="22" t="n">
        <v>0.87</v>
      </c>
      <c r="B53" s="9">
        <f>$B$2*A53</f>
        <v/>
      </c>
      <c r="C53" s="9">
        <f>$B$2-B53</f>
        <v/>
      </c>
    </row>
    <row r="54">
      <c r="A54" s="22" t="n">
        <v>0.865</v>
      </c>
      <c r="B54" s="9">
        <f>$B$2*A54</f>
        <v/>
      </c>
      <c r="C54" s="9">
        <f>$B$2-B54</f>
        <v/>
      </c>
    </row>
    <row r="55">
      <c r="A55" s="22" t="n">
        <v>0.86</v>
      </c>
      <c r="B55" s="9">
        <f>$B$2*A55</f>
        <v/>
      </c>
      <c r="C55" s="9">
        <f>$B$2-B55</f>
        <v/>
      </c>
    </row>
    <row r="56">
      <c r="A56" s="22" t="n">
        <v>0.855</v>
      </c>
      <c r="B56" s="9">
        <f>$B$2*A56</f>
        <v/>
      </c>
      <c r="C56" s="9">
        <f>$B$2-B56</f>
        <v/>
      </c>
    </row>
    <row r="57">
      <c r="A57" s="22" t="n">
        <v>0.85</v>
      </c>
      <c r="B57" s="9">
        <f>$B$2*A57</f>
        <v/>
      </c>
      <c r="C57" s="9">
        <f>$B$2-B57</f>
        <v/>
      </c>
    </row>
    <row r="58" ht="45" customHeight="1"/>
    <row r="59">
      <c r="A59" s="23" t="inlineStr">
        <is>
          <t>Заказчик на аукционе объявляет шаг в диапазоне 0,5–5% от НМЦ по своему усмотрению на каждом шаге (это стандартная механика ЭА по 223-ФЗ на roseltorg) — участники не выбирают шаг сами. Обе таблицы — ориентир для решения «продолжать/остановиться» в моменте, а не жёсткий сценарий.</t>
        </is>
      </c>
    </row>
  </sheetData>
  <mergeCells count="1">
    <mergeCell ref="A58:D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Допущения расчёта — требуют проверки руководителем</t>
        </is>
      </c>
    </row>
    <row r="3" ht="60" customHeight="1">
      <c r="A3" s="24" t="inlineStr">
        <is>
          <t>• Вся трудоёмкость (лист «Трудоёмкость») оценена агентом самостоятельно — по прямому разовому разрешению человека от 2026-08-06, т.к. раздел 3 memory/pricing.md («Ориентиры по трудоёмкости») не заполнен. Цифры сознательно занижены («ниже среднего») по этому же указанию. Не откалиброваны по прошлым сметам — точного аналога такого масштаба портала в портфолио нет.</t>
        </is>
      </c>
    </row>
    <row r="5" ht="60" customHeight="1">
      <c r="A5" s="24" t="inlineStr">
        <is>
          <t>• Ставки — из memory/pricing.md: 3500 ₽/ч для разработческих ролей (frontend, backend/1С-Битрикс), 3000 ₽/ч для остальных (PM, BA, UX/UI, QA, бренд-дизайн). Обе — ориентировочные, «плюс-минус».</t>
        </is>
      </c>
    </row>
    <row r="7" ht="60" customHeight="1">
      <c r="A7" s="24" t="inlineStr">
        <is>
          <t>• Управленческая надбавка (15%), резерв на риски (10%), минимальная маржа (20%) — раздел 2 memory/pricing.md заполнен руководителем 2026-08-06. Применены поверх себестоимости по труду (лист «Трудоёмкость», строки 27–30). Итог 5 285 000 ₽ — минимальная цена продажи, маржа на ней ровно 20% (совпадение точное, без запаса). Правило округления в клиентской смете по-прежнему не задано — округлено агентом до тысяч самостоятельно.</t>
        </is>
      </c>
    </row>
    <row r="9" ht="60" customHeight="1">
      <c r="A9" s="24" t="inlineStr">
        <is>
          <t>• Этап 3 (дизайн-макеты): предположение ~20 уникальных типов страниц по составу разделов п.3.4 ТЗ (реестр студий, карточка студии, ЛК студии, ЛК производителя, конкурсы — список/карточка/форма подачи, календарь мероприятий, вакансии производителей, вакансии дизайнеров, стажировки, вузы, медиа — список/карточка, документы для заказа услуг, учебные материалы — каталог/карточка курса, программа практики, целевые меры поддержки, стандарты и рекомендации, премия, заявка на экспертный анализ, главная). Точное число уточняется на стадии аналитики (Этап 1) и может измениться.</t>
        </is>
      </c>
    </row>
    <row r="11" ht="60" customHeight="1">
      <c r="A11" s="24" t="inlineStr">
        <is>
          <t>• Этап 5 (запуск на 1С-Битрикс): предположение, что заказчик предоставляет готовые инфоблоки/элементы платформы согласно п.3.1.5 ТЗ («на основе баз данных с готовыми на использование элементами... спроектированными и запрограммированными правообладателем платформы») — это снижает объём кастомной разработки. Если на деле готовых элементов нет или они не подходят — трудоёмкость этапа 5 вырастет, возможно существенно (модуль «конкурсы» с ролями/статусами/жюри и модерация — самые сложные части).</t>
        </is>
      </c>
    </row>
    <row r="13" ht="60" customHeight="1">
      <c r="A13" s="24" t="inlineStr">
        <is>
          <t>• Этап 6 (техподдержка): 240 часов зафиксированы заказчиком в ТЗ, не оценка агента. Ставка 3350 ₽/ч — оценка агента (средневзвешенная по составу работ поддержки из п.3.1.6 ТЗ), не откалиброванная величина.</t>
        </is>
      </c>
    </row>
    <row r="15" ht="60" customHeight="1">
      <c r="A15" s="24" t="inlineStr">
        <is>
          <t>• Расчёт НЕ включает: обеспечение исполнения контракта (541 919,08 ₽, 5% от НМЦ, возвратное), стоимость SSL-сертификата (предоставляет заказчик), возможные расходы на серверные мощности при разработке (п.3.1.5 ТЗ — «на серверных ресурсах и мощностях Исполнителя»), которые тоже не оценены агентом.</t>
        </is>
      </c>
    </row>
    <row r="17" ht="60" customHeight="1">
      <c r="A17" s="24" t="inlineStr">
        <is>
          <t>• Оплата — поэтапная, аванс не предусмотрен (проект контракта). Это кассовый разрыв на весь срок этапа — фактор для решения о минимальной марже и резерве, а не для решения агента.</t>
        </is>
      </c>
    </row>
    <row r="19" ht="60" customHeight="1">
      <c r="A19" s="24" t="inlineStr">
        <is>
          <t>• НМЦ 10 838 381,68 ₽ включает НДС 22% заказчика/участников-плательщиков НДС. Для AIR (НДС 0%, резидент Сколково) это не снижает потолок цены контракта — участник просто не выставляет НДС сверху, весь платёж идёт в его пользу без обязанности перечислить 22% в бюджет. Итоговая цена контракта в любом случае ограничена НМЦ по условиям аукциона.</t>
        </is>
      </c>
    </row>
  </sheetData>
  <mergeCells count="9">
    <mergeCell ref="A17"/>
    <mergeCell ref="A9"/>
    <mergeCell ref="A3"/>
    <mergeCell ref="A15"/>
    <mergeCell ref="A7"/>
    <mergeCell ref="A11"/>
    <mergeCell ref="A13"/>
    <mergeCell ref="A19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2026-08-06T14:51:32Z</dcterms:created>
  <dcterms:modified xsi:type="dcterms:W3CDTF">2026-08-06T15:16:51Z</dcterms:modified>
</cp:coreProperties>
</file>