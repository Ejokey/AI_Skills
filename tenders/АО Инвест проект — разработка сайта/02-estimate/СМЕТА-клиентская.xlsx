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3" fontId="0" fillId="3" borderId="1" applyAlignment="1" pivotButton="0" quotePrefix="0" xfId="0">
      <alignment vertical="top"/>
    </xf>
    <xf numFmtId="0" fontId="4" fillId="0" borderId="1" pivotButton="0" quotePrefix="0" xfId="0"/>
    <xf numFmtId="0" fontId="0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14" customWidth="1" min="3" max="3"/>
    <col width="16" customWidth="1" min="4" max="4"/>
    <col width="16" customWidth="1" min="7" max="7"/>
    <col width="14" customWidth="1" min="8" max="8"/>
  </cols>
  <sheetData>
    <row r="1">
      <c r="A1" s="1" t="inlineStr">
        <is>
          <t>Смета на оказание услуг по разработке сайта</t>
        </is>
      </c>
      <c r="G1" t="inlineStr">
        <is>
          <t>НМЦ (справочно):</t>
        </is>
      </c>
      <c r="H1" s="2" t="n">
        <v>10838381.68</v>
      </c>
    </row>
    <row r="2">
      <c r="A2" s="3" t="inlineStr">
        <is>
          <t>Заказчик: АО «Инвест проект» / Исполнитель: AIR (AIRelations)</t>
        </is>
      </c>
    </row>
    <row r="3">
      <c r="A3" s="3" t="inlineStr">
        <is>
          <t>Закупка № 32616263956 (17055043), электронный аукцион, 223-ФЗ</t>
        </is>
      </c>
    </row>
    <row r="5" ht="45" customHeight="1">
      <c r="A5" s="4" t="inlineStr">
        <is>
          <t>Стартовая стоимость этапов приведена на уровне начальной (максимальной) цены договора (НМЦ) — структура распределения стоимости по этапам согласована и подтверждена внутренней методикой ценообразования компании. Итоговая цена определяется по результатам электронного аукциона 19.08.2026 путём снижения от НМЦ; после аукциона суммы по этапам пересчитываются пропорционально итоговому проценту снижения.</t>
        </is>
      </c>
    </row>
    <row r="7">
      <c r="A7" s="5" t="inlineStr">
        <is>
          <t>Этап</t>
        </is>
      </c>
      <c r="B7" s="5" t="inlineStr">
        <is>
          <t>Состав работ</t>
        </is>
      </c>
      <c r="C7" s="5" t="inlineStr">
        <is>
          <t>Срок, раб. дни (с даты договора)</t>
        </is>
      </c>
      <c r="D7" s="5" t="inlineStr">
        <is>
          <t>Стоимость, ₽</t>
        </is>
      </c>
    </row>
    <row r="8" ht="70" customHeight="1">
      <c r="A8" s="6" t="inlineStr">
        <is>
          <t>Этап 1. Подготовка и проектирование структуры. Предпроектное исследование</t>
        </is>
      </c>
      <c r="B8" s="7" t="inlineStr">
        <is>
          <t>Аналитика, разработка прототипа сайта в соответствии со структурой раздела 3.4 ТЗ. Результат — презентация с прототипами архитектуры сайта.</t>
        </is>
      </c>
      <c r="C8" s="8" t="inlineStr">
        <is>
          <t>1–10</t>
        </is>
      </c>
      <c r="D8" s="9">
        <f>$H$1*0.0894</f>
        <v/>
      </c>
    </row>
    <row r="9" ht="70" customHeight="1">
      <c r="A9" s="6" t="inlineStr">
        <is>
          <t>Этап 2. Разработка дизайн-концепции айдентики проекта</t>
        </is>
      </c>
      <c r="B9" s="7" t="inlineStr">
        <is>
          <t>Разработка концепции и элементов фирменного стиля: носители фирменного стиля, шаблоны презентаций и макеты рекламных форматов, концепция и макеты сувенирной продукции (не менее 3 вариантов на каждый вид), гайдбук.</t>
        </is>
      </c>
      <c r="C9" s="8" t="inlineStr">
        <is>
          <t>10–45</t>
        </is>
      </c>
      <c r="D9" s="9">
        <f>$H$1*0.1015</f>
        <v/>
      </c>
    </row>
    <row r="10" ht="70" customHeight="1">
      <c r="A10" s="6" t="inlineStr">
        <is>
          <t>Этап 3. Проектирование и прототипирование страниц сайта</t>
        </is>
      </c>
      <c r="B10" s="7" t="inlineStr">
        <is>
          <t>Разработка дизайн-концепции страниц сайта и дизайн-макетов всех страниц (для десктопных и мобильных устройств) в соответствии со структурой раздела 3.4 ТЗ, включая 3 универсальных шаблона дополнительных страниц.</t>
        </is>
      </c>
      <c r="C10" s="8" t="inlineStr">
        <is>
          <t>25–60</t>
        </is>
      </c>
      <c r="D10" s="9">
        <f>$H$1*0.144</f>
        <v/>
      </c>
    </row>
    <row r="11" ht="70" customHeight="1">
      <c r="A11" s="6" t="inlineStr">
        <is>
          <t>Этап 4. Frontend и backend разработка, вёрстка дизайн-макетов страниц сайта</t>
        </is>
      </c>
      <c r="B11" s="7" t="inlineStr">
        <is>
          <t>Вёрстка дизайн-макетов страниц сайта для десктопных и мобильных устройств, тестирование и подготовка к запуску, кроссбраузерная проверка.</t>
        </is>
      </c>
      <c r="C11" s="8" t="inlineStr">
        <is>
          <t>40–80</t>
        </is>
      </c>
      <c r="D11" s="9">
        <f>$H$1*0.2010</f>
        <v/>
      </c>
    </row>
    <row r="12" ht="70" customHeight="1">
      <c r="A12" s="6" t="inlineStr">
        <is>
          <t>Этап 5. Запуск в работу сайта</t>
        </is>
      </c>
      <c r="B12" s="7" t="inlineStr">
        <is>
          <t>Программирование и запуск статичных и динамичных страниц сайта на платформе 1С-Битрикс, проведение испытаний с участием представителей заказчика, устранение замечаний, ввод сайта в эксплуатацию.</t>
        </is>
      </c>
      <c r="C12" s="8" t="inlineStr">
        <is>
          <t>50–90</t>
        </is>
      </c>
      <c r="D12" s="9">
        <f>$H$1*0.2739</f>
        <v/>
      </c>
    </row>
    <row r="13" ht="70" customHeight="1">
      <c r="A13" s="6" t="inlineStr">
        <is>
          <t>Этап 6. Поддержка</t>
        </is>
      </c>
      <c r="B13" s="7" t="inlineStr">
        <is>
          <t>Сопровождение и поддержка работоспособности сайта в течение 130 рабочих дней с даты запуска, в объёме 240 часов работы специалиста: задачи по проектированию, дизайну, фронтенд- и бэкенд-разработке, тестированию и управлению проектом, согласно приоритетам и срокам реакции раздела 3.1.6 ТЗ.</t>
        </is>
      </c>
      <c r="C13" s="8" t="inlineStr">
        <is>
          <t>90–220</t>
        </is>
      </c>
      <c r="D13" s="9">
        <f>$H$1*0.1902</f>
        <v/>
      </c>
    </row>
    <row r="14">
      <c r="A14" s="10" t="inlineStr">
        <is>
          <t>ИТОГО</t>
        </is>
      </c>
      <c r="B14" s="11" t="n"/>
      <c r="C14" s="11" t="n"/>
      <c r="D14" s="12">
        <f>SUM(D8:D13)</f>
        <v/>
      </c>
    </row>
    <row r="16">
      <c r="A16" s="3" t="inlineStr">
        <is>
          <t>НДС: 0% (Исполнитель — резидент Сколково, освобождён от уплаты НДС)</t>
        </is>
      </c>
    </row>
    <row r="17">
      <c r="A17" s="3" t="inlineStr">
        <is>
          <t>Оплата — поэтапная, по факту приёмки каждого этапа, аванс не предусмотрен.</t>
        </is>
      </c>
    </row>
    <row r="18" ht="30" customHeight="1">
      <c r="A18" s="3" t="inlineStr">
        <is>
          <t>Общий срок оказания услуг по этапам 1–5: 90 рабочих дней с даты заключения договора; по этапу 6 (поддержка): 130 рабочих дней с даты подписания акта по этапу 5.</t>
        </is>
      </c>
    </row>
  </sheetData>
  <mergeCells count="2">
    <mergeCell ref="A5:D5"/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2026-08-06T14:52:20Z</dcterms:created>
  <dcterms:modified xsi:type="dcterms:W3CDTF">2026-08-06T15:15:53Z</dcterms:modified>
</cp:coreProperties>
</file>