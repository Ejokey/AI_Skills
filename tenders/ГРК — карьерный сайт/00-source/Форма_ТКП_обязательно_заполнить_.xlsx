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iaev_ab\Documents\1 Текущие задачи\Казанцева Надежда\"/>
    </mc:Choice>
  </mc:AlternateContent>
  <bookViews>
    <workbookView xWindow="0" yWindow="0" windowWidth="28800" windowHeight="12045" tabRatio="710" firstSheet="3" activeTab="3"/>
  </bookViews>
  <sheets>
    <sheet name="Титульный лист" sheetId="7" state="hidden" r:id="rId1"/>
    <sheet name="Комментарии сторон" sheetId="10" state="hidden" r:id="rId2"/>
    <sheet name="Этапы реализации" sheetId="9" state="hidden" r:id="rId3"/>
    <sheet name=" Приложение №1.1. к ТКП" sheetId="11" r:id="rId4"/>
  </sheets>
  <definedNames>
    <definedName name="Excel_BuiltIn_Recorder" localSheetId="0">#REF!</definedName>
    <definedName name="Excel_BuiltIn_Recorder">#REF!</definedName>
    <definedName name="Makro1" localSheetId="0">#REF!</definedName>
    <definedName name="Makro1">#REF!</definedName>
    <definedName name="Makro2" localSheetId="0">#REF!</definedName>
    <definedName name="Makro2">#REF!</definedName>
    <definedName name="Makro3" localSheetId="0">#REF!</definedName>
    <definedName name="Makro3">#REF!</definedName>
    <definedName name="_xlnm.Print_Area" localSheetId="0">'Титульный лист'!$B$1:$S$28</definedName>
  </definedNames>
  <calcPr calcId="162913"/>
</workbook>
</file>

<file path=xl/calcChain.xml><?xml version="1.0" encoding="utf-8"?>
<calcChain xmlns="http://schemas.openxmlformats.org/spreadsheetml/2006/main">
  <c r="G53" i="11" l="1"/>
  <c r="E53" i="11"/>
  <c r="G36" i="11"/>
  <c r="G35" i="11"/>
  <c r="G34" i="11"/>
  <c r="G33" i="11" s="1"/>
  <c r="E33" i="11"/>
  <c r="G52" i="11"/>
  <c r="G51" i="11"/>
  <c r="G50" i="11"/>
  <c r="G49" i="11"/>
  <c r="E49" i="11"/>
  <c r="G48" i="11"/>
  <c r="G47" i="11"/>
  <c r="G46" i="11"/>
  <c r="E45" i="11"/>
  <c r="G44" i="11"/>
  <c r="G41" i="11" s="1"/>
  <c r="G43" i="11"/>
  <c r="G42" i="11"/>
  <c r="E41" i="11"/>
  <c r="G40" i="11"/>
  <c r="G39" i="11"/>
  <c r="G38" i="11"/>
  <c r="G37" i="11"/>
  <c r="E37" i="11"/>
  <c r="G45" i="11" l="1"/>
  <c r="G29" i="11"/>
  <c r="E29" i="11"/>
  <c r="E25" i="11"/>
  <c r="E21" i="11"/>
  <c r="G22" i="11"/>
  <c r="G21" i="11" s="1"/>
  <c r="G23" i="11"/>
  <c r="G24" i="11"/>
  <c r="G26" i="11"/>
  <c r="G27" i="11"/>
  <c r="G25" i="11" s="1"/>
  <c r="G28" i="11"/>
  <c r="G30" i="11"/>
  <c r="G31" i="11"/>
  <c r="G32" i="11"/>
  <c r="G102" i="11" l="1"/>
  <c r="G103" i="11"/>
  <c r="G104" i="11"/>
  <c r="F93" i="11"/>
  <c r="G99" i="11"/>
  <c r="G95" i="11"/>
  <c r="G94" i="11"/>
  <c r="G81" i="11"/>
  <c r="G78" i="11"/>
  <c r="G76" i="11"/>
  <c r="G68" i="11"/>
  <c r="G55" i="11"/>
  <c r="F67" i="11"/>
  <c r="F54" i="11"/>
  <c r="G100" i="11" l="1"/>
  <c r="G98" i="11"/>
  <c r="G91" i="11"/>
  <c r="G90" i="11"/>
  <c r="G89" i="11"/>
  <c r="F80" i="11"/>
  <c r="G87" i="11"/>
  <c r="G86" i="11"/>
  <c r="G85" i="11"/>
  <c r="G77" i="11"/>
  <c r="G74" i="11"/>
  <c r="G73" i="11"/>
  <c r="G64" i="11"/>
  <c r="G65" i="11"/>
  <c r="G63" i="11"/>
  <c r="G61" i="11"/>
  <c r="G60" i="11"/>
  <c r="G105" i="11" l="1"/>
  <c r="G72" i="11" l="1"/>
  <c r="G59" i="11"/>
  <c r="G96" i="11" l="1"/>
  <c r="G97" i="11"/>
  <c r="G82" i="11"/>
  <c r="G83" i="11"/>
  <c r="G84" i="11"/>
  <c r="G69" i="11"/>
  <c r="G70" i="11"/>
  <c r="G71" i="11"/>
  <c r="G56" i="11"/>
  <c r="G57" i="11"/>
  <c r="G58" i="11"/>
  <c r="G93" i="11" l="1"/>
  <c r="G101" i="11" s="1"/>
  <c r="G92" i="11"/>
  <c r="G80" i="11"/>
  <c r="G88" i="11" s="1"/>
  <c r="G67" i="11"/>
  <c r="G75" i="11" s="1"/>
  <c r="G79" i="11"/>
  <c r="G54" i="11"/>
  <c r="G62" i="11" s="1"/>
  <c r="G66" i="11"/>
</calcChain>
</file>

<file path=xl/sharedStrings.xml><?xml version="1.0" encoding="utf-8"?>
<sst xmlns="http://schemas.openxmlformats.org/spreadsheetml/2006/main" count="377" uniqueCount="249">
  <si>
    <t>o</t>
  </si>
  <si>
    <t>E</t>
  </si>
  <si>
    <t>F</t>
  </si>
  <si>
    <t>G</t>
  </si>
  <si>
    <t>H</t>
  </si>
  <si>
    <t>I</t>
  </si>
  <si>
    <t>Статус рассмотрения документа</t>
  </si>
  <si>
    <t>Примечания:</t>
  </si>
  <si>
    <t>Продолжение работ согласовано.</t>
  </si>
  <si>
    <t>Продолжение работ согласовано. Предоставить окончательный документ.</t>
  </si>
  <si>
    <t>Откорректировать и предоставить повторно. Продолжение работ согласовано с учётом указанных корректировок.</t>
  </si>
  <si>
    <t>Откорректировать и предоставить повторно. Продолжение работ не допускается.</t>
  </si>
  <si>
    <t>Рассмотрение не требуется. Продолжение работ согласовано.</t>
  </si>
  <si>
    <t>ФИО:</t>
  </si>
  <si>
    <t>Дата:</t>
  </si>
  <si>
    <t>Рассмотрение и согласование</t>
  </si>
  <si>
    <t>Ред. №</t>
  </si>
  <si>
    <t>Дата</t>
  </si>
  <si>
    <t>Описание</t>
  </si>
  <si>
    <t>Выполнил</t>
  </si>
  <si>
    <t>Проверил</t>
  </si>
  <si>
    <t>Утвердил</t>
  </si>
  <si>
    <t>ООО "Научно-производственное объединение "Пассат"</t>
  </si>
  <si>
    <t xml:space="preserve">Документ № </t>
  </si>
  <si>
    <t xml:space="preserve">Контракт №: </t>
  </si>
  <si>
    <t>НПО Пассат:</t>
  </si>
  <si>
    <t>223710, Республика Беларусь, Минская обл., Солигорский р-н, Метявичское шоссе, д. 65</t>
  </si>
  <si>
    <t>тел: +375 174 23 35 25; office@npo.by</t>
  </si>
  <si>
    <t>Поставщик  
ООО "Научно-производственное объединение "Пассат"</t>
  </si>
  <si>
    <t xml:space="preserve">Проект  №:  </t>
  </si>
  <si>
    <t>Покупатель
ООО "ЕвроХим-Усольский Калийный Комбинат"</t>
  </si>
  <si>
    <t>Выпарная установка по выпариванию избыточных рассолов</t>
  </si>
  <si>
    <t>ПЕРЕЧЕНЬ ДОКУМЕНТОВ ДЛЯ РАЗРАБОТКИ РКД</t>
  </si>
  <si>
    <t xml:space="preserve">Перечень </t>
  </si>
  <si>
    <t xml:space="preserve">Перечень исходных данных </t>
  </si>
  <si>
    <t>Предоставляемый документ, наименование архива</t>
  </si>
  <si>
    <t>Стадия разработки</t>
  </si>
  <si>
    <t>№ п/п</t>
  </si>
  <si>
    <t> Схема технологического процесса (PFD) с таблицей материальных потоков (вкл. инженерные системы);</t>
  </si>
  <si>
    <t> Массовый и тепловой балансы установки в пределах поставки;</t>
  </si>
  <si>
    <t xml:space="preserve"> Схема трубопроводов и измерительных приборов (P&amp;ID) </t>
  </si>
  <si>
    <t> Описание управления и эксплуатации</t>
  </si>
  <si>
    <t> 3D-модель (для планировочных решений по всему поставляемому оборудованию)</t>
  </si>
  <si>
    <t> чертежи общего вида с установочными, присоединительными и габаритными размерами, марки и объемы жидкостей для заливки</t>
  </si>
  <si>
    <t> строительное задание на устройство фундаментов и стальных конструкций с указанием нагрузок, размеров, анкерных колодцев, коэффициента динамической нагрузки</t>
  </si>
  <si>
    <t xml:space="preserve"> типы (расположение) фундаментных болтов;
(расчет длин болтов и анкеров входит в ответственность проектной организации)
</t>
  </si>
  <si>
    <t> таблица соединений на границах поставки</t>
  </si>
  <si>
    <t> компоновка оборудования, разрезы, планы</t>
  </si>
  <si>
    <t> 3D модели трубопроводной обвязки оборудования (для труб ≥DN50)</t>
  </si>
  <si>
    <t> Требования по защитным покрытиям и теплоизоляции оборудования</t>
  </si>
  <si>
    <t> перечень насосного оборудования с указанием габаритов, весовых характеристик</t>
  </si>
  <si>
    <t> Спецификации ЗИП и специальных приспособлений для обслуживания и ремонта</t>
  </si>
  <si>
    <t> Перечень трубопроводов</t>
  </si>
  <si>
    <t> Перечень запорной арматуры</t>
  </si>
  <si>
    <t>Автоматизация и силовое оборудование</t>
  </si>
  <si>
    <t>БАЗОВЫЙ ИНЖИНИРИНГ</t>
  </si>
  <si>
    <t> Однолинейная схема электроснабжения с указанием установленной и потребляемой мощности электрооборудования, с указанием требований к внешнему электроснабжению, с указанием требований к UPS (источникам бесперебойного питания)</t>
  </si>
  <si>
    <t> Кабельный журнал с указанием длин кабеля (силовые кабели);</t>
  </si>
  <si>
    <t> Схемы расположения оборудования (включая НКУ) с указанием кабельных проводок (силовые кабели)</t>
  </si>
  <si>
    <t> Схемы расположения оборудования с указанием кабельных и трубных проводок (контрольные и информационные кабели)</t>
  </si>
  <si>
    <t> Таблица с перечнем сигналов от устройств АСУ (КИПиА, ЗРА, НКУ и т.п)</t>
  </si>
  <si>
    <t> Перечень элементов НКУ</t>
  </si>
  <si>
    <t> Таблица с перечнем устройств ввода-вывода с техническими характеристиками (интерфейсы, количество портов и т.п.);</t>
  </si>
  <si>
    <t> Схемы электрические подключения;</t>
  </si>
  <si>
    <t> Ведомость шкафов НКУ с габаритными размерами и весами;</t>
  </si>
  <si>
    <t> Схемы электрические соединений НКУ;</t>
  </si>
  <si>
    <t> Пояснительная записка (состав АСУ НКУ, назначение, принцип действия, функции, алгоритмы управления оборудованием с детальным функциональным описанием, перечень защит и блокировок и т.п.);</t>
  </si>
  <si>
    <t> Схемы электрические структурные информационных сетей с указанием типов протоколов обмена данными между полевыми устройствами, устройствами ввода-вывода, устройствами передачи данных, операторскими панелями;</t>
  </si>
  <si>
    <t> Программное обеспечение для НКУ (в электронном виде);</t>
  </si>
  <si>
    <t> Раздел пояснительной записки «Математическое обеспечение»: перечень задач, методы решения задач, алгоритмы управления оборудованием с детальным функциональным описанием, перечень защит и блокировок и т.п;</t>
  </si>
  <si>
    <t> Общие виды шкафов, пультов с установочными, присоединительными и габаритными размерами, с указанием степени защиты, требований к размещению;</t>
  </si>
  <si>
    <t> Сборочные чертежи НКУ, шкафов, пультов, постов;</t>
  </si>
  <si>
    <t> Методика и программа испытаний оборудования и программного обеспечения.</t>
  </si>
  <si>
    <t> Спецификация оборудования с указанием веса, конструкционных материалов</t>
  </si>
  <si>
    <t> Перечень утилит (пар, вода и пр.)  с указанием точек потребления ресурсов (точек подвода коммуникаций)</t>
  </si>
  <si>
    <t>1.1.</t>
  </si>
  <si>
    <t>1.2.</t>
  </si>
  <si>
    <t>1.3.</t>
  </si>
  <si>
    <t>1.4.</t>
  </si>
  <si>
    <t>1.5.</t>
  </si>
  <si>
    <t>1.6.</t>
  </si>
  <si>
    <t>1.7.</t>
  </si>
  <si>
    <t>1.8.</t>
  </si>
  <si>
    <t>1.9.</t>
  </si>
  <si>
    <t>1.10.</t>
  </si>
  <si>
    <t>1.11.</t>
  </si>
  <si>
    <t>1.12.</t>
  </si>
  <si>
    <t>1.13.</t>
  </si>
  <si>
    <t>1.14.</t>
  </si>
  <si>
    <t>1.15.</t>
  </si>
  <si>
    <t>1.16.</t>
  </si>
  <si>
    <t>1.17.</t>
  </si>
  <si>
    <t>1.18.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</si>
  <si>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</si>
  <si>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</si>
  <si>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</si>
  <si>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</si>
  <si>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</si>
  <si>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</si>
  <si>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</si>
  <si>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</si>
  <si>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</si>
  <si>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</si>
  <si>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</si>
  <si>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</si>
  <si>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</si>
  <si>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</si>
  <si>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2.15.</t>
  </si>
  <si>
    <t>2.16.</t>
  </si>
  <si>
    <t>2.17.</t>
  </si>
  <si>
    <t>Порядок предоставления (нужное отметить)</t>
  </si>
  <si>
    <t>Х</t>
  </si>
  <si>
    <t>Срок предоставления для согласования/
утвержденное</t>
  </si>
  <si>
    <t>Комментарий НПО Пассат</t>
  </si>
  <si>
    <t>Комментарий ЕвроХим</t>
  </si>
  <si>
    <t>предварительно/
финал</t>
  </si>
  <si>
    <t>23.12.2022/
30.01.2023</t>
  </si>
  <si>
    <t>Реинжиниринг по нормам DIN</t>
  </si>
  <si>
    <t>Разработка РКД нормам DIN</t>
  </si>
  <si>
    <t>3. Обозначить ответственность за гарантийные показатели установки ВВУ для организации, которая будет осуществлять:
1. Реинжиниринг
2. Реинжиниринг и Адаптация
3. Реинжиниринг, РКД
4. Реинжиниринг, РКД, Адаптация</t>
  </si>
  <si>
    <r>
      <t xml:space="preserve">1. Во вкладке "Этапы реализации" необходимо обозначить  перечень предоставляемых данных и сроки реализации в рамках </t>
    </r>
    <r>
      <rPr>
        <b/>
        <sz val="10"/>
        <rFont val="Arial"/>
        <family val="2"/>
        <charset val="204"/>
      </rPr>
      <t>Базового проекта</t>
    </r>
    <r>
      <rPr>
        <sz val="10"/>
        <rFont val="Arial"/>
        <family val="2"/>
        <charset val="204"/>
      </rPr>
      <t xml:space="preserve">, который включает:
 - реинжиниринг и адаптацию проекта с учетом требования ТНПА, иных нормативных актов и пр., действующих в РФ (далее "Адаптация") на основании проекта Veolia </t>
    </r>
    <r>
      <rPr>
        <b/>
        <sz val="10"/>
        <rFont val="Arial"/>
        <family val="2"/>
        <charset val="204"/>
      </rPr>
      <t xml:space="preserve">c внесением соответствующих корректировок;
</t>
    </r>
    <r>
      <rPr>
        <sz val="10"/>
        <rFont val="Arial"/>
        <family val="2"/>
        <charset val="204"/>
      </rPr>
      <t xml:space="preserve"> - отдельно добавить необходимые пункты (неуказанные исходные данные), которые должны быть предоставлены в рамках Базового проекта;</t>
    </r>
  </si>
  <si>
    <t>5. На переговорах было сообщено об исключении комплекта оборудования сушки NaCl.
Чтобы в последующем  не было недопонимания просим во вкладке "Спецификация" отметить позиции, которые должны быть исключены (в столбцах РКД сделать пометку - "ИСКЛЮЧЕНО ИЗ КОМПЛЕКТА")</t>
  </si>
  <si>
    <r>
      <rPr>
        <b/>
        <sz val="10"/>
        <rFont val="Arial"/>
        <family val="2"/>
        <charset val="204"/>
      </rPr>
      <t>Обозначить нормативный документ, по которому будем определять комплектность РКД!!!</t>
    </r>
    <r>
      <rPr>
        <sz val="10"/>
        <rFont val="Arial"/>
        <family val="2"/>
        <charset val="204"/>
      </rPr>
      <t xml:space="preserve">
</t>
    </r>
    <r>
      <rPr>
        <b/>
        <sz val="10"/>
        <rFont val="Arial"/>
        <family val="2"/>
        <charset val="204"/>
      </rPr>
      <t xml:space="preserve">Исходя из данных, предоставленных во вкладке "Этапы реализации" определить, какие из документов ЕвроХим подразумевает как РКД, а какие как реинжиниринг...дописать требуемые.
</t>
    </r>
    <r>
      <rPr>
        <sz val="10"/>
        <rFont val="Arial"/>
        <family val="2"/>
        <charset val="204"/>
      </rPr>
      <t xml:space="preserve">
Согласно ГОСТ 2.102-68 рабочая конструкторская документация это: чертежи; технические условия (ТУ); спецификации; ведомости; схемы; методики и программы испытаний; таблицы и расчёты; инструкции; эксплуатационные и ремонтные документы и т.д.
В зависимости от комплектности (полноты) комплекта конструкторских документов следует различать:
основной конструкторский документ;
основной комплект конструкторских документов;
полный комплект конструкторских документов.
Основной комплект конструкторских документов изделия объединяет конструкторские документы, относящиеся ко всему изделию (составленные на все данное изделие в целом), например, сборочный чертеж, принципиальная электрическая схема, технические условия, эксплуатационные документы. Конструкторские документы составных частей в основной Комплект документов изделия не входят.
Полный комплект конструкторских документов изделия составляют (в общем случае) из следующих документов:
основного комплекта конструкторских документов на данное изделие;
основных комплектов конструкторских документов на все составные части данного изделия, примененные по своим основным конструкторским документам.
В состав комплекта КД на изделие или его составную часть обязательно входит основной конструкторский документ, который полностью и однозначно определяют данное изделие и его состав. За основные конструкторские документы принимают: для деталей – чертеж детали; для сборочных единиц, комплексов и комплектов – спецификацию.
ГОСТ 2.102-68 выделяет следующие виды конструкторских документов (в скобках указаны их коды):
Графические документы:
Чертеж детали;
Сборочный чертеж (СБ);
Чертеж общего вида (ВО);
Теоретический чертеж (ТЧ);
Габаритный чертеж (ГЧ);
Электромонтажный чертеж (МЭ);
Монтажный чертеж (МЧ);
Упаковочный чертеж (УЧ);
Схема (по ГОСТ 2.701);
Электронная модель детали;
Электронная модель сборочной единицы (ЭСБ);
Электронная структура изделия.
Текстовые документы;
Перечень элементов (ПЭ);
Пояснительная записка (ПЗ);
Таблица (ТБ);
Расчет (РР);
Инструкция (И);
Технические условия (ТУ);
Программа и методика испытаний (ПМ);
Эксплуатационные документы (по ГОСТ 2.601);
Ремонтные документы (по ГОСТ 2.602);
Спецификация;
Ведомость спецификаций (ВС);
Ведомость ссылочных документов (ВД);
Ведомость покупных изделий (ВП);
Ведомость разрешения применения покупных изделий (ВИ);
Ведомость держателей подлинников (ДП);
Ведомость технического предложения (ПТ);
Ведомость эскизного проекта (ЭП);
Ведомость технического проекта (ТП);
Ведомость электронных документов (ВДЭ).</t>
    </r>
  </si>
  <si>
    <t>Адаптация реинжиниринга 
и РКД</t>
  </si>
  <si>
    <t>4. Во вкладке "Спецификация" к оборудованию обозначить позиции, по которым должно быть предоставлено РКД (ДА - требуется, НЕТ - не требуется).</t>
  </si>
  <si>
    <t>2. Обозначить, рассматривается ли Заказчиком вариант реинжиниринга базового проекта Veolia без адаптации проекта с учетом требования ТНПА, иных нормативных актов и пр., действующих в РФ.
Комплект документации, предоставленный в рамках реинжиниринга, должен позволять дальнейшее  проектирование и проведение тендера на закупку комплексного решения с поставкой оборудования. Данный вариант необходимо рассматривать с учетом времени подготовки и объема предоставляемых документов, т.к. на адаптацию необходимо будет добавить значительное время.</t>
  </si>
  <si>
    <t>ТЕНДЕРНОЕ ПРЕДЛОЖЕНИЕ</t>
  </si>
  <si>
    <t>в лице______________________________________________</t>
  </si>
  <si>
    <t>(указать полное наименование юридического лица)______________________________________________</t>
  </si>
  <si>
    <t>________________________________________</t>
  </si>
  <si>
    <t>( Ф.И.О руководителя юридического  лица)</t>
  </si>
  <si>
    <t>действующего на основании ___________________________, предлагает следующие условия:</t>
  </si>
  <si>
    <t>(Указать валюту предложения)___________________________________________________________________________________________________</t>
  </si>
  <si>
    <t>Ед.изм.</t>
  </si>
  <si>
    <t>Кол-во</t>
  </si>
  <si>
    <t>Опросный лист:</t>
  </si>
  <si>
    <t>№п/п</t>
  </si>
  <si>
    <t>Параметр</t>
  </si>
  <si>
    <t>Варианты ответов</t>
  </si>
  <si>
    <t>Ответы
(для заполнения участником)</t>
  </si>
  <si>
    <t>ДА/НЕТ (если нет - указать варианты)</t>
  </si>
  <si>
    <t>указать срок в календарных днях</t>
  </si>
  <si>
    <t>Подпись</t>
  </si>
  <si>
    <t>Ф.И.О.</t>
  </si>
  <si>
    <t>М.П.</t>
  </si>
  <si>
    <t>2.1</t>
  </si>
  <si>
    <t>2.2</t>
  </si>
  <si>
    <t>2.3</t>
  </si>
  <si>
    <t>Наше предложение подготовлено в полном соответствии с техническим заданием, его приложениями, с учетом требований стандартов и другой документацией, указанной в тендерном запросе.</t>
  </si>
  <si>
    <t>Прочая дополнительная информация, которую участник считает необходимым представить в составе Тендерного предложения.</t>
  </si>
  <si>
    <t>Комментарии к ТКП</t>
  </si>
  <si>
    <t>Указать (или приложить пояснения отдельным письмом)</t>
  </si>
  <si>
    <t>2.4</t>
  </si>
  <si>
    <t>2.5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</si>
  <si>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</si>
  <si>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</si>
  <si>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</si>
  <si>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</si>
  <si>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</si>
  <si>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</si>
  <si>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</si>
  <si>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</si>
  <si>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</si>
  <si>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</si>
  <si>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</si>
  <si>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</si>
  <si>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</si>
  <si>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</si>
  <si>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</si>
  <si>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в т.ч. Стоимость разработки КМД</t>
  </si>
  <si>
    <t>тн</t>
  </si>
  <si>
    <t>комплект</t>
  </si>
  <si>
    <t>в т.ч. Стоимость  метизов</t>
  </si>
  <si>
    <t>в т.ч. Стоимость АКЗ (грунт) материал+ работы</t>
  </si>
  <si>
    <t>в т.ч. Стоимость АКЗ (финиш) материал+ работы</t>
  </si>
  <si>
    <t>в т.ч. Стоимость транспортных расходов</t>
  </si>
  <si>
    <t>ИТОГО стоимость, без НДС</t>
  </si>
  <si>
    <t>2.6</t>
  </si>
  <si>
    <t>3.6</t>
  </si>
  <si>
    <t>4.6</t>
  </si>
  <si>
    <t>5.6</t>
  </si>
  <si>
    <t>в т.ч.  Стоимость металлопроката</t>
  </si>
  <si>
    <t>Опционно: в т.ч. Стоимость АКЗ (грунт) материал+ работы</t>
  </si>
  <si>
    <t>Опционно: в т.ч. Стоимость АКЗ (финиш) материал+ работы</t>
  </si>
  <si>
    <t xml:space="preserve">Опционно: в т.ч. Стоимость ОГЗ  </t>
  </si>
  <si>
    <t>в т. ч.Стоимость изготовления  1 ед.</t>
  </si>
  <si>
    <t>2.7</t>
  </si>
  <si>
    <t>2.8</t>
  </si>
  <si>
    <t>2.9</t>
  </si>
  <si>
    <t>2.10</t>
  </si>
  <si>
    <t>3.7</t>
  </si>
  <si>
    <t xml:space="preserve"> 3.8</t>
  </si>
  <si>
    <t xml:space="preserve"> 3.9 </t>
  </si>
  <si>
    <t xml:space="preserve"> 3.10</t>
  </si>
  <si>
    <t>4.7</t>
  </si>
  <si>
    <t xml:space="preserve"> 4.8</t>
  </si>
  <si>
    <t xml:space="preserve"> 4.9</t>
  </si>
  <si>
    <t xml:space="preserve"> 4.10</t>
  </si>
  <si>
    <t>5.7</t>
  </si>
  <si>
    <t>5.8</t>
  </si>
  <si>
    <t xml:space="preserve"> 5.9</t>
  </si>
  <si>
    <t xml:space="preserve"> 5.10</t>
  </si>
  <si>
    <t>Наименование металлоконструкций</t>
  </si>
  <si>
    <t>Металлоконструкции (Балки, Балки покрытия, Подкрановые балки, Пути кранового оборудования)</t>
  </si>
  <si>
    <t>Металлоконструкции (Фермы покрытия, Подстропильные фермы)</t>
  </si>
  <si>
    <t>Металлоконструкции (Прогоны покрытия, Прогоны фахверка)</t>
  </si>
  <si>
    <t>Металлоконструкции (Связи горизонтальные, Связи вертикальные, Связи покрытия, Связи по фахверку, Распорки)</t>
  </si>
  <si>
    <t>ИТОГО стоимость с опционом, без НДС</t>
  </si>
  <si>
    <t>м2/в тн</t>
  </si>
  <si>
    <t>Форма №5</t>
  </si>
  <si>
    <t>Цена за ед., без НДС , руб.</t>
  </si>
  <si>
    <t>Стоимость без НДС, руб.</t>
  </si>
  <si>
    <t>Срок действия нашего предложения – 90 календарных дней с момента подачи настоящего предложения.</t>
  </si>
  <si>
    <t>Cрок поставки / выполнения услуг (календарные дни)</t>
  </si>
  <si>
    <t>3.1.</t>
  </si>
  <si>
    <t>3.2.</t>
  </si>
  <si>
    <t>3.3.</t>
  </si>
  <si>
    <r>
      <t xml:space="preserve">Место установки оборудования: </t>
    </r>
    <r>
      <rPr>
        <b/>
        <sz val="10"/>
        <color rgb="FF000000"/>
        <rFont val="Times New Roman"/>
        <family val="1"/>
        <charset val="204"/>
      </rPr>
      <t>Пермский край, Усольский муниципальный район, Палашерский и Балахонцевский участки ВКМКС, 155-й км трассы Пермь-Березники</t>
    </r>
  </si>
  <si>
    <t>чел./час</t>
  </si>
  <si>
    <t>Руководитель участника (Уполномоченное лицо)</t>
  </si>
  <si>
    <t>Cрок оказания услуг с даты заключения договора</t>
  </si>
  <si>
    <t>Стоимость транспортных и командировочных расходов включена в стоимость услуг</t>
  </si>
  <si>
    <t>Условия платежей  (Предлагаемые условия оплаты: 100% по факту оказания услуг в течение 20 рабочих дней). В случае необходимости предоставления аванса необходимо предоставить информацию о Банке-гаранте, Банковскую гарантию.</t>
  </si>
  <si>
    <t>Готовность приступить к оказанию услуг по гарантийному письму</t>
  </si>
  <si>
    <t>Согласие с подписанием Договора по типовой форме 4.5. оказание услуг, без Протокола разногласий</t>
  </si>
  <si>
    <t>на проведение разработку карьерного сайта компании ООО "ГРК"</t>
  </si>
  <si>
    <t>1. Утверждение структуры</t>
  </si>
  <si>
    <t>4.1.</t>
  </si>
  <si>
    <t>4.2.</t>
  </si>
  <si>
    <t>4.3.</t>
  </si>
  <si>
    <t>Утверждение контента</t>
  </si>
  <si>
    <t>Выбор и утверждение дизайн-макета (из 3-х вариантов)</t>
  </si>
  <si>
    <t>Правка/утверждение тестовой версии (дизайн-контент, не менее 5 этапов правок)</t>
  </si>
  <si>
    <t>Первичное тестирование</t>
  </si>
  <si>
    <t>5.1.</t>
  </si>
  <si>
    <t>5.2.</t>
  </si>
  <si>
    <t>6.3.</t>
  </si>
  <si>
    <t>5.3.</t>
  </si>
  <si>
    <t>6.1.</t>
  </si>
  <si>
    <t>6.2.</t>
  </si>
  <si>
    <t>7.1.</t>
  </si>
  <si>
    <t>7.2.</t>
  </si>
  <si>
    <t>7.3.</t>
  </si>
  <si>
    <t>8.1.</t>
  </si>
  <si>
    <t>8.2.</t>
  </si>
  <si>
    <t>8.3.</t>
  </si>
  <si>
    <t>Финальная проверка соответствия дизайна и контента</t>
  </si>
  <si>
    <t>Запуск</t>
  </si>
  <si>
    <t>SEO-оптимизация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</si>
</sst>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.00\ &quot;€&quot;_-;\-* #,##0.00\ &quot;€&quot;_-;_-* &quot;-&quot;??\ &quot;€&quot;_-;_-@_-"/>
  </numFmts>
  <fonts count="4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Wingdings"/>
      <charset val="2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2"/>
      <name val="Arial"/>
      <family val="2"/>
      <charset val="204"/>
    </font>
    <font>
      <b/>
      <sz val="11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sz val="12"/>
      <color rgb="FFFF0000"/>
      <name val="Arial"/>
      <family val="2"/>
      <charset val="204"/>
    </font>
    <font>
      <b/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medium">
        <color rgb="FF000000"/>
      </bottom>
      <diagonal/>
    </border>
    <border>
      <left/>
      <right/>
      <top style="double">
        <color indexed="64"/>
      </top>
      <bottom style="medium">
        <color rgb="FF000000"/>
      </bottom>
      <diagonal/>
    </border>
    <border>
      <left/>
      <right style="double">
        <color indexed="64"/>
      </right>
      <top style="double">
        <color indexed="64"/>
      </top>
      <bottom style="medium">
        <color rgb="FF000000"/>
      </bottom>
      <diagonal/>
    </border>
    <border>
      <left style="double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64" fontId="23" fillId="0" borderId="0" applyFont="0" applyFill="0" applyBorder="0" applyAlignment="0" applyProtection="0"/>
  </cellStyleXfs>
  <cellXfs count="303">
    <xf numFmtId="0" fontId="0" fillId="0" borderId="0" xfId="0"/>
    <xf numFmtId="0" fontId="0" fillId="0" borderId="0" xfId="0" applyAlignment="1"/>
    <xf numFmtId="0" fontId="9" fillId="0" borderId="31" xfId="0" applyFont="1" applyBorder="1" applyAlignment="1">
      <alignment horizontal="center" vertical="center"/>
    </xf>
    <xf numFmtId="0" fontId="10" fillId="0" borderId="10" xfId="7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0" xfId="0" applyBorder="1"/>
    <xf numFmtId="0" fontId="0" fillId="0" borderId="40" xfId="0" applyBorder="1" applyAlignment="1">
      <alignment wrapText="1"/>
    </xf>
    <xf numFmtId="0" fontId="0" fillId="0" borderId="45" xfId="0" applyBorder="1"/>
    <xf numFmtId="0" fontId="0" fillId="7" borderId="50" xfId="0" applyFill="1" applyBorder="1" applyAlignment="1">
      <alignment wrapText="1"/>
    </xf>
    <xf numFmtId="0" fontId="0" fillId="7" borderId="50" xfId="0" applyFill="1" applyBorder="1"/>
    <xf numFmtId="0" fontId="0" fillId="7" borderId="0" xfId="0" applyFill="1"/>
    <xf numFmtId="0" fontId="19" fillId="6" borderId="51" xfId="0" applyFont="1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7" fontId="0" fillId="0" borderId="44" xfId="0" applyNumberFormat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40" xfId="0" applyFill="1" applyBorder="1" applyAlignment="1">
      <alignment wrapText="1"/>
    </xf>
    <xf numFmtId="0" fontId="0" fillId="7" borderId="40" xfId="0" applyFill="1" applyBorder="1"/>
    <xf numFmtId="0" fontId="0" fillId="7" borderId="45" xfId="0" applyFill="1" applyBorder="1"/>
    <xf numFmtId="17" fontId="0" fillId="7" borderId="44" xfId="0" applyNumberFormat="1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0" fillId="7" borderId="47" xfId="0" applyFill="1" applyBorder="1" applyAlignment="1">
      <alignment wrapText="1"/>
    </xf>
    <xf numFmtId="0" fontId="0" fillId="7" borderId="47" xfId="0" applyFill="1" applyBorder="1"/>
    <xf numFmtId="0" fontId="0" fillId="7" borderId="48" xfId="0" applyFill="1" applyBorder="1"/>
    <xf numFmtId="0" fontId="19" fillId="6" borderId="52" xfId="0" applyFont="1" applyFill="1" applyBorder="1" applyAlignment="1">
      <alignment horizontal="center" vertical="center" wrapText="1"/>
    </xf>
    <xf numFmtId="0" fontId="0" fillId="0" borderId="56" xfId="0" applyBorder="1"/>
    <xf numFmtId="0" fontId="0" fillId="7" borderId="56" xfId="0" applyFill="1" applyBorder="1"/>
    <xf numFmtId="0" fontId="0" fillId="7" borderId="57" xfId="0" applyFill="1" applyBorder="1"/>
    <xf numFmtId="0" fontId="0" fillId="7" borderId="43" xfId="0" applyFill="1" applyBorder="1"/>
    <xf numFmtId="0" fontId="19" fillId="8" borderId="53" xfId="0" applyFont="1" applyFill="1" applyBorder="1" applyAlignment="1">
      <alignment horizontal="center" vertical="center" wrapText="1"/>
    </xf>
    <xf numFmtId="0" fontId="19" fillId="5" borderId="5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19" fillId="5" borderId="52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46" xfId="0" applyFont="1" applyFill="1" applyBorder="1" applyAlignment="1">
      <alignment horizontal="center" vertical="center"/>
    </xf>
    <xf numFmtId="0" fontId="20" fillId="0" borderId="0" xfId="0" applyFont="1" applyBorder="1" applyAlignment="1">
      <alignment vertical="top" wrapText="1"/>
    </xf>
    <xf numFmtId="0" fontId="0" fillId="7" borderId="55" xfId="0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vertical="center"/>
    </xf>
    <xf numFmtId="0" fontId="22" fillId="7" borderId="60" xfId="0" applyFont="1" applyFill="1" applyBorder="1"/>
    <xf numFmtId="0" fontId="22" fillId="0" borderId="58" xfId="0" applyFont="1" applyBorder="1"/>
    <xf numFmtId="0" fontId="22" fillId="7" borderId="58" xfId="0" applyFont="1" applyFill="1" applyBorder="1"/>
    <xf numFmtId="0" fontId="22" fillId="7" borderId="61" xfId="0" applyFont="1" applyFill="1" applyBorder="1"/>
    <xf numFmtId="49" fontId="19" fillId="7" borderId="62" xfId="0" applyNumberFormat="1" applyFont="1" applyFill="1" applyBorder="1" applyAlignment="1">
      <alignment horizontal="center" vertical="center" wrapText="1"/>
    </xf>
    <xf numFmtId="49" fontId="19" fillId="0" borderId="56" xfId="0" applyNumberFormat="1" applyFont="1" applyBorder="1" applyAlignment="1">
      <alignment horizontal="center" vertical="center"/>
    </xf>
    <xf numFmtId="49" fontId="19" fillId="7" borderId="56" xfId="0" applyNumberFormat="1" applyFont="1" applyFill="1" applyBorder="1" applyAlignment="1">
      <alignment horizontal="center" vertical="center"/>
    </xf>
    <xf numFmtId="49" fontId="19" fillId="7" borderId="57" xfId="0" applyNumberFormat="1" applyFont="1" applyFill="1" applyBorder="1" applyAlignment="1">
      <alignment horizontal="center" vertical="center"/>
    </xf>
    <xf numFmtId="0" fontId="22" fillId="7" borderId="42" xfId="0" applyFont="1" applyFill="1" applyBorder="1"/>
    <xf numFmtId="0" fontId="22" fillId="7" borderId="43" xfId="0" applyFont="1" applyFill="1" applyBorder="1"/>
    <xf numFmtId="0" fontId="22" fillId="0" borderId="44" xfId="0" applyFont="1" applyBorder="1"/>
    <xf numFmtId="0" fontId="22" fillId="0" borderId="45" xfId="0" applyFont="1" applyBorder="1"/>
    <xf numFmtId="0" fontId="22" fillId="7" borderId="44" xfId="0" applyFont="1" applyFill="1" applyBorder="1"/>
    <xf numFmtId="0" fontId="22" fillId="7" borderId="45" xfId="0" applyFont="1" applyFill="1" applyBorder="1"/>
    <xf numFmtId="0" fontId="22" fillId="7" borderId="46" xfId="0" applyFont="1" applyFill="1" applyBorder="1"/>
    <xf numFmtId="0" fontId="22" fillId="7" borderId="48" xfId="0" applyFont="1" applyFill="1" applyBorder="1"/>
    <xf numFmtId="0" fontId="19" fillId="11" borderId="53" xfId="0" applyFont="1" applyFill="1" applyBorder="1" applyAlignment="1">
      <alignment horizontal="center" vertical="center" wrapText="1"/>
    </xf>
    <xf numFmtId="0" fontId="0" fillId="5" borderId="44" xfId="0" applyFill="1" applyBorder="1" applyAlignment="1">
      <alignment horizontal="left" vertical="center"/>
    </xf>
    <xf numFmtId="0" fontId="0" fillId="5" borderId="40" xfId="0" applyFill="1" applyBorder="1" applyAlignment="1">
      <alignment wrapText="1"/>
    </xf>
    <xf numFmtId="0" fontId="0" fillId="5" borderId="40" xfId="0" applyFill="1" applyBorder="1"/>
    <xf numFmtId="0" fontId="0" fillId="5" borderId="56" xfId="0" applyFill="1" applyBorder="1"/>
    <xf numFmtId="0" fontId="21" fillId="5" borderId="44" xfId="0" applyFont="1" applyFill="1" applyBorder="1" applyAlignment="1">
      <alignment horizontal="center" vertical="center"/>
    </xf>
    <xf numFmtId="49" fontId="19" fillId="5" borderId="56" xfId="0" applyNumberFormat="1" applyFont="1" applyFill="1" applyBorder="1" applyAlignment="1">
      <alignment horizontal="center" vertical="center"/>
    </xf>
    <xf numFmtId="0" fontId="22" fillId="5" borderId="44" xfId="0" applyFont="1" applyFill="1" applyBorder="1"/>
    <xf numFmtId="0" fontId="22" fillId="5" borderId="45" xfId="0" applyFont="1" applyFill="1" applyBorder="1"/>
    <xf numFmtId="0" fontId="22" fillId="5" borderId="58" xfId="0" applyFont="1" applyFill="1" applyBorder="1"/>
    <xf numFmtId="0" fontId="0" fillId="5" borderId="45" xfId="0" applyFill="1" applyBorder="1"/>
    <xf numFmtId="0" fontId="24" fillId="0" borderId="0" xfId="0" applyFont="1"/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justify" vertical="center"/>
    </xf>
    <xf numFmtId="0" fontId="24" fillId="0" borderId="64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>
      <alignment horizontal="left"/>
    </xf>
    <xf numFmtId="0" fontId="29" fillId="12" borderId="65" xfId="0" applyFont="1" applyFill="1" applyBorder="1" applyAlignment="1">
      <alignment horizontal="center" vertical="center" wrapText="1"/>
    </xf>
    <xf numFmtId="0" fontId="29" fillId="12" borderId="66" xfId="0" applyFont="1" applyFill="1" applyBorder="1" applyAlignment="1">
      <alignment horizontal="center" vertical="center" wrapText="1"/>
    </xf>
    <xf numFmtId="0" fontId="29" fillId="12" borderId="67" xfId="0" applyFont="1" applyFill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horizontal="center"/>
    </xf>
    <xf numFmtId="0" fontId="28" fillId="0" borderId="40" xfId="0" applyFont="1" applyBorder="1" applyAlignment="1">
      <alignment horizontal="left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0" xfId="0" applyFont="1"/>
    <xf numFmtId="4" fontId="30" fillId="0" borderId="40" xfId="17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/>
    </xf>
    <xf numFmtId="49" fontId="34" fillId="0" borderId="40" xfId="0" applyNumberFormat="1" applyFont="1" applyBorder="1" applyAlignment="1">
      <alignment horizontal="right" vertical="center" wrapText="1"/>
    </xf>
    <xf numFmtId="49" fontId="34" fillId="10" borderId="40" xfId="11" applyNumberFormat="1" applyFont="1" applyFill="1" applyBorder="1" applyAlignment="1" applyProtection="1">
      <alignment horizontal="right" vertical="center" wrapText="1"/>
    </xf>
    <xf numFmtId="0" fontId="35" fillId="0" borderId="40" xfId="0" applyFont="1" applyBorder="1" applyAlignment="1">
      <alignment horizontal="center" vertical="center" wrapText="1"/>
    </xf>
    <xf numFmtId="3" fontId="36" fillId="0" borderId="40" xfId="17" applyNumberFormat="1" applyFont="1" applyBorder="1" applyAlignment="1">
      <alignment horizontal="center" vertical="center" wrapText="1"/>
    </xf>
    <xf numFmtId="4" fontId="36" fillId="3" borderId="40" xfId="17" applyNumberFormat="1" applyFont="1" applyFill="1" applyBorder="1" applyAlignment="1">
      <alignment horizontal="center" vertical="center" wrapText="1"/>
    </xf>
    <xf numFmtId="4" fontId="37" fillId="0" borderId="40" xfId="0" applyNumberFormat="1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4" fontId="39" fillId="3" borderId="55" xfId="17" applyNumberFormat="1" applyFont="1" applyFill="1" applyBorder="1" applyAlignment="1">
      <alignment horizontal="center" vertical="center" wrapText="1"/>
    </xf>
    <xf numFmtId="4" fontId="29" fillId="0" borderId="50" xfId="0" applyNumberFormat="1" applyFont="1" applyBorder="1" applyAlignment="1">
      <alignment horizontal="center" vertical="center" wrapText="1"/>
    </xf>
    <xf numFmtId="0" fontId="30" fillId="0" borderId="72" xfId="0" applyFont="1" applyBorder="1" applyAlignment="1">
      <alignment horizontal="center" vertical="center" wrapText="1"/>
    </xf>
    <xf numFmtId="49" fontId="30" fillId="10" borderId="40" xfId="11" applyNumberFormat="1" applyFont="1" applyFill="1" applyBorder="1" applyAlignment="1" applyProtection="1">
      <alignment horizontal="left" vertical="center" wrapText="1"/>
    </xf>
    <xf numFmtId="3" fontId="30" fillId="0" borderId="40" xfId="17" applyNumberFormat="1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left" vertical="center" wrapText="1"/>
    </xf>
    <xf numFmtId="0" fontId="30" fillId="0" borderId="56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left" vertical="center" wrapText="1"/>
    </xf>
    <xf numFmtId="0" fontId="37" fillId="0" borderId="0" xfId="0" applyFont="1" applyFill="1" applyBorder="1" applyAlignment="1">
      <alignment vertical="center" wrapText="1"/>
    </xf>
    <xf numFmtId="0" fontId="31" fillId="0" borderId="0" xfId="0" applyFont="1" applyFill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8" fillId="0" borderId="0" xfId="0" applyFont="1" applyFill="1" applyBorder="1"/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/>
    <xf numFmtId="0" fontId="40" fillId="0" borderId="0" xfId="0" applyFont="1" applyBorder="1" applyAlignment="1">
      <alignment horizontal="left" vertical="center" wrapText="1"/>
    </xf>
    <xf numFmtId="0" fontId="40" fillId="0" borderId="70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3" fontId="36" fillId="0" borderId="71" xfId="17" applyNumberFormat="1" applyFont="1" applyBorder="1" applyAlignment="1">
      <alignment horizontal="center" vertical="center" wrapText="1"/>
    </xf>
    <xf numFmtId="3" fontId="36" fillId="0" borderId="73" xfId="17" applyNumberFormat="1" applyFont="1" applyBorder="1" applyAlignment="1">
      <alignment horizontal="center" vertical="center" wrapText="1"/>
    </xf>
    <xf numFmtId="4" fontId="36" fillId="10" borderId="40" xfId="17" applyNumberFormat="1" applyFont="1" applyFill="1" applyBorder="1" applyAlignment="1">
      <alignment horizontal="center" vertical="center" wrapText="1"/>
    </xf>
    <xf numFmtId="0" fontId="34" fillId="0" borderId="50" xfId="0" applyFont="1" applyBorder="1" applyAlignment="1">
      <alignment horizontal="right" vertical="center" wrapText="1"/>
    </xf>
    <xf numFmtId="4" fontId="30" fillId="3" borderId="40" xfId="17" applyNumberFormat="1" applyFont="1" applyFill="1" applyBorder="1" applyAlignment="1">
      <alignment horizontal="center" vertical="center" wrapText="1"/>
    </xf>
    <xf numFmtId="4" fontId="30" fillId="10" borderId="55" xfId="17" applyNumberFormat="1" applyFont="1" applyFill="1" applyBorder="1" applyAlignment="1">
      <alignment horizontal="center" vertical="center" wrapText="1"/>
    </xf>
    <xf numFmtId="0" fontId="43" fillId="0" borderId="40" xfId="0" applyFont="1" applyBorder="1" applyAlignment="1">
      <alignment vertical="center" wrapText="1" shrinkToFit="1"/>
    </xf>
    <xf numFmtId="4" fontId="28" fillId="10" borderId="40" xfId="0" applyNumberFormat="1" applyFont="1" applyFill="1" applyBorder="1" applyAlignment="1">
      <alignment horizontal="center" vertical="center" wrapText="1"/>
    </xf>
    <xf numFmtId="4" fontId="42" fillId="14" borderId="40" xfId="0" applyNumberFormat="1" applyFont="1" applyFill="1" applyBorder="1" applyAlignment="1">
      <alignment horizontal="center" vertical="center" wrapText="1"/>
    </xf>
    <xf numFmtId="4" fontId="29" fillId="13" borderId="50" xfId="0" applyNumberFormat="1" applyFont="1" applyFill="1" applyBorder="1" applyAlignment="1">
      <alignment horizontal="center" vertical="center" wrapText="1"/>
    </xf>
    <xf numFmtId="4" fontId="29" fillId="13" borderId="40" xfId="0" applyNumberFormat="1" applyFont="1" applyFill="1" applyBorder="1" applyAlignment="1">
      <alignment horizontal="center" vertical="center" wrapText="1"/>
    </xf>
    <xf numFmtId="49" fontId="32" fillId="15" borderId="40" xfId="11" applyNumberFormat="1" applyFont="1" applyFill="1" applyBorder="1" applyAlignment="1" applyProtection="1">
      <alignment horizontal="left" vertical="center" wrapText="1"/>
    </xf>
    <xf numFmtId="3" fontId="44" fillId="0" borderId="40" xfId="17" applyNumberFormat="1" applyFont="1" applyBorder="1" applyAlignment="1">
      <alignment horizontal="center" vertical="center" wrapText="1"/>
    </xf>
    <xf numFmtId="3" fontId="46" fillId="0" borderId="71" xfId="17" applyNumberFormat="1" applyFont="1" applyBorder="1" applyAlignment="1">
      <alignment horizontal="center" vertical="center" wrapText="1"/>
    </xf>
    <xf numFmtId="49" fontId="32" fillId="15" borderId="50" xfId="11" applyNumberFormat="1" applyFont="1" applyFill="1" applyBorder="1" applyAlignment="1" applyProtection="1">
      <alignment horizontal="left" vertical="center" wrapText="1"/>
    </xf>
    <xf numFmtId="0" fontId="32" fillId="0" borderId="75" xfId="0" applyFont="1" applyBorder="1" applyAlignment="1">
      <alignment horizontal="center" vertical="center" wrapText="1"/>
    </xf>
    <xf numFmtId="3" fontId="45" fillId="0" borderId="50" xfId="17" applyNumberFormat="1" applyFont="1" applyBorder="1" applyAlignment="1">
      <alignment horizontal="center" vertical="center" wrapText="1"/>
    </xf>
    <xf numFmtId="4" fontId="39" fillId="3" borderId="50" xfId="17" applyNumberFormat="1" applyFont="1" applyFill="1" applyBorder="1" applyAlignment="1">
      <alignment horizontal="center" vertical="center" wrapText="1"/>
    </xf>
    <xf numFmtId="0" fontId="24" fillId="0" borderId="40" xfId="0" applyFont="1" applyBorder="1"/>
    <xf numFmtId="0" fontId="37" fillId="10" borderId="56" xfId="0" applyFont="1" applyFill="1" applyBorder="1" applyAlignment="1">
      <alignment horizontal="center" vertical="center" wrapText="1"/>
    </xf>
    <xf numFmtId="0" fontId="37" fillId="10" borderId="59" xfId="0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1" fontId="36" fillId="0" borderId="71" xfId="17" applyNumberFormat="1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41" fillId="0" borderId="40" xfId="0" applyFont="1" applyBorder="1" applyAlignment="1">
      <alignment vertical="center"/>
    </xf>
    <xf numFmtId="0" fontId="0" fillId="0" borderId="59" xfId="0" applyBorder="1"/>
    <xf numFmtId="49" fontId="32" fillId="16" borderId="40" xfId="11" applyNumberFormat="1" applyFont="1" applyFill="1" applyBorder="1" applyAlignment="1" applyProtection="1">
      <alignment horizontal="left" vertical="center" wrapText="1"/>
    </xf>
    <xf numFmtId="4" fontId="36" fillId="10" borderId="55" xfId="17" applyNumberFormat="1" applyFont="1" applyFill="1" applyBorder="1" applyAlignment="1">
      <alignment horizontal="right" vertical="center" wrapText="1"/>
    </xf>
    <xf numFmtId="4" fontId="37" fillId="0" borderId="50" xfId="0" applyNumberFormat="1" applyFont="1" applyBorder="1" applyAlignment="1">
      <alignment horizontal="right" vertical="center" wrapText="1"/>
    </xf>
    <xf numFmtId="49" fontId="32" fillId="10" borderId="55" xfId="11" applyNumberFormat="1" applyFont="1" applyFill="1" applyBorder="1" applyAlignment="1" applyProtection="1">
      <alignment vertical="center" wrapText="1"/>
    </xf>
    <xf numFmtId="49" fontId="32" fillId="10" borderId="68" xfId="11" applyNumberFormat="1" applyFont="1" applyFill="1" applyBorder="1" applyAlignment="1" applyProtection="1">
      <alignment vertical="center" wrapText="1"/>
    </xf>
    <xf numFmtId="49" fontId="32" fillId="10" borderId="69" xfId="11" applyNumberFormat="1" applyFont="1" applyFill="1" applyBorder="1" applyAlignment="1" applyProtection="1">
      <alignment vertical="center" wrapText="1"/>
    </xf>
    <xf numFmtId="1" fontId="47" fillId="0" borderId="71" xfId="17" applyNumberFormat="1" applyFont="1" applyBorder="1" applyAlignment="1">
      <alignment horizontal="center" vertical="center" wrapText="1"/>
    </xf>
    <xf numFmtId="4" fontId="42" fillId="0" borderId="50" xfId="0" applyNumberFormat="1" applyFont="1" applyBorder="1" applyAlignment="1">
      <alignment horizontal="right" vertical="center" wrapText="1"/>
    </xf>
    <xf numFmtId="4" fontId="42" fillId="13" borderId="40" xfId="0" applyNumberFormat="1" applyFont="1" applyFill="1" applyBorder="1" applyAlignment="1">
      <alignment horizontal="right" vertical="center" wrapText="1"/>
    </xf>
    <xf numFmtId="0" fontId="5" fillId="2" borderId="1" xfId="7" applyFont="1" applyFill="1" applyBorder="1" applyAlignment="1">
      <alignment horizontal="center" vertical="center" wrapText="1"/>
    </xf>
    <xf numFmtId="0" fontId="5" fillId="2" borderId="2" xfId="7" applyFont="1" applyFill="1" applyBorder="1" applyAlignment="1">
      <alignment horizontal="center" vertical="center" wrapText="1"/>
    </xf>
    <xf numFmtId="0" fontId="5" fillId="2" borderId="3" xfId="7" applyFont="1" applyFill="1" applyBorder="1" applyAlignment="1">
      <alignment horizontal="center" vertical="center" wrapText="1"/>
    </xf>
    <xf numFmtId="0" fontId="4" fillId="0" borderId="4" xfId="7" applyFont="1" applyBorder="1" applyAlignment="1">
      <alignment horizontal="justify" vertical="center" wrapText="1"/>
    </xf>
    <xf numFmtId="0" fontId="4" fillId="0" borderId="5" xfId="7" applyFont="1" applyBorder="1" applyAlignment="1">
      <alignment horizontal="justify" vertical="center" wrapText="1"/>
    </xf>
    <xf numFmtId="0" fontId="4" fillId="0" borderId="6" xfId="7" applyFont="1" applyBorder="1" applyAlignment="1">
      <alignment horizontal="justify" vertical="center" wrapText="1"/>
    </xf>
    <xf numFmtId="0" fontId="4" fillId="0" borderId="41" xfId="7" applyFont="1" applyBorder="1" applyAlignment="1">
      <alignment vertical="center" wrapText="1"/>
    </xf>
    <xf numFmtId="0" fontId="4" fillId="0" borderId="10" xfId="7" applyFont="1" applyBorder="1" applyAlignment="1">
      <alignment vertical="center" wrapText="1"/>
    </xf>
    <xf numFmtId="0" fontId="4" fillId="0" borderId="13" xfId="7" applyFont="1" applyBorder="1" applyAlignment="1">
      <alignment vertical="center" wrapText="1"/>
    </xf>
    <xf numFmtId="0" fontId="4" fillId="0" borderId="35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37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4" fillId="0" borderId="9" xfId="7" applyFont="1" applyBorder="1" applyAlignment="1">
      <alignment horizontal="center" vertical="top" wrapText="1"/>
    </xf>
    <xf numFmtId="0" fontId="4" fillId="0" borderId="10" xfId="7" applyFont="1" applyBorder="1" applyAlignment="1">
      <alignment horizontal="center" vertical="top" wrapText="1"/>
    </xf>
    <xf numFmtId="0" fontId="4" fillId="0" borderId="14" xfId="7" applyFont="1" applyBorder="1" applyAlignment="1">
      <alignment horizontal="center" vertical="top" wrapText="1"/>
    </xf>
    <xf numFmtId="0" fontId="4" fillId="0" borderId="0" xfId="7" applyFont="1" applyBorder="1" applyAlignment="1">
      <alignment horizontal="center" vertical="top" wrapText="1"/>
    </xf>
    <xf numFmtId="0" fontId="4" fillId="0" borderId="18" xfId="7" applyFont="1" applyBorder="1" applyAlignment="1">
      <alignment horizontal="center" vertical="top" wrapText="1"/>
    </xf>
    <xf numFmtId="0" fontId="4" fillId="0" borderId="19" xfId="7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0" xfId="7" applyFont="1" applyBorder="1" applyAlignment="1">
      <alignment vertical="center" wrapText="1"/>
    </xf>
    <xf numFmtId="0" fontId="8" fillId="0" borderId="13" xfId="7" applyFont="1" applyBorder="1" applyAlignment="1">
      <alignment vertical="center" wrapText="1"/>
    </xf>
    <xf numFmtId="0" fontId="8" fillId="0" borderId="18" xfId="7" applyFont="1" applyBorder="1" applyAlignment="1">
      <alignment horizontal="center" vertical="center" wrapText="1"/>
    </xf>
    <xf numFmtId="0" fontId="8" fillId="0" borderId="19" xfId="7" applyFont="1" applyBorder="1" applyAlignment="1">
      <alignment horizontal="center" vertical="center" wrapText="1"/>
    </xf>
    <xf numFmtId="0" fontId="8" fillId="0" borderId="5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12" fillId="0" borderId="0" xfId="7" applyFont="1" applyBorder="1" applyAlignment="1">
      <alignment vertical="center" wrapText="1"/>
    </xf>
    <xf numFmtId="0" fontId="12" fillId="0" borderId="17" xfId="7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12" xfId="7" applyFont="1" applyBorder="1" applyAlignment="1">
      <alignment vertical="center" wrapText="1"/>
    </xf>
    <xf numFmtId="0" fontId="10" fillId="0" borderId="10" xfId="7" applyFont="1" applyBorder="1" applyAlignment="1">
      <alignment vertical="center" wrapText="1"/>
    </xf>
    <xf numFmtId="0" fontId="10" fillId="0" borderId="11" xfId="7" applyFont="1" applyBorder="1" applyAlignment="1">
      <alignment vertical="center" wrapText="1"/>
    </xf>
    <xf numFmtId="0" fontId="11" fillId="0" borderId="16" xfId="7" applyFont="1" applyBorder="1" applyAlignment="1">
      <alignment horizontal="center" vertical="center" wrapText="1"/>
    </xf>
    <xf numFmtId="0" fontId="11" fillId="0" borderId="0" xfId="7" applyFont="1" applyBorder="1" applyAlignment="1">
      <alignment horizontal="center" vertical="center" wrapText="1"/>
    </xf>
    <xf numFmtId="0" fontId="11" fillId="0" borderId="17" xfId="7" applyFont="1" applyBorder="1" applyAlignment="1">
      <alignment horizontal="center" vertical="center" wrapText="1"/>
    </xf>
    <xf numFmtId="0" fontId="11" fillId="0" borderId="20" xfId="7" applyFont="1" applyBorder="1" applyAlignment="1">
      <alignment horizontal="center" vertical="center" wrapText="1"/>
    </xf>
    <xf numFmtId="0" fontId="11" fillId="0" borderId="19" xfId="7" applyFont="1" applyBorder="1" applyAlignment="1">
      <alignment horizontal="center" vertical="center" wrapText="1"/>
    </xf>
    <xf numFmtId="0" fontId="11" fillId="0" borderId="21" xfId="7" applyFont="1" applyBorder="1" applyAlignment="1">
      <alignment horizontal="center" vertical="center" wrapText="1"/>
    </xf>
    <xf numFmtId="0" fontId="10" fillId="0" borderId="32" xfId="7" applyFont="1" applyBorder="1" applyAlignment="1">
      <alignment horizontal="left" vertical="center" wrapText="1"/>
    </xf>
    <xf numFmtId="0" fontId="10" fillId="0" borderId="33" xfId="7" applyFont="1" applyBorder="1" applyAlignment="1">
      <alignment horizontal="left" vertical="center" wrapText="1"/>
    </xf>
    <xf numFmtId="0" fontId="10" fillId="0" borderId="34" xfId="7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4" fontId="12" fillId="0" borderId="7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4" xfId="7" applyFont="1" applyBorder="1" applyAlignment="1">
      <alignment horizontal="center" vertical="center" wrapText="1"/>
    </xf>
    <xf numFmtId="0" fontId="11" fillId="0" borderId="6" xfId="7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3" fillId="0" borderId="4" xfId="7" applyFont="1" applyBorder="1" applyAlignment="1">
      <alignment horizontal="center" vertical="center" wrapText="1"/>
    </xf>
    <xf numFmtId="0" fontId="13" fillId="0" borderId="6" xfId="7" applyFont="1" applyBorder="1" applyAlignment="1">
      <alignment horizontal="center" vertical="center" wrapText="1"/>
    </xf>
    <xf numFmtId="0" fontId="13" fillId="0" borderId="7" xfId="7" applyFont="1" applyBorder="1" applyAlignment="1">
      <alignment horizontal="center" vertical="center" wrapText="1"/>
    </xf>
    <xf numFmtId="0" fontId="13" fillId="0" borderId="5" xfId="7" applyFont="1" applyBorder="1" applyAlignment="1">
      <alignment horizontal="center" vertical="center" wrapText="1"/>
    </xf>
    <xf numFmtId="0" fontId="13" fillId="0" borderId="22" xfId="7" applyFont="1" applyBorder="1" applyAlignment="1">
      <alignment horizontal="center" vertical="center" wrapText="1"/>
    </xf>
    <xf numFmtId="0" fontId="13" fillId="0" borderId="23" xfId="7" applyFont="1" applyBorder="1" applyAlignment="1">
      <alignment horizontal="center" vertical="center" wrapText="1"/>
    </xf>
    <xf numFmtId="0" fontId="13" fillId="0" borderId="8" xfId="7" applyFont="1" applyBorder="1" applyAlignment="1">
      <alignment horizontal="center" vertical="center" wrapText="1"/>
    </xf>
    <xf numFmtId="0" fontId="0" fillId="10" borderId="40" xfId="0" applyFill="1" applyBorder="1" applyAlignment="1">
      <alignment horizontal="center"/>
    </xf>
    <xf numFmtId="0" fontId="19" fillId="9" borderId="40" xfId="0" applyFont="1" applyFill="1" applyBorder="1" applyAlignment="1">
      <alignment horizontal="left" vertical="center"/>
    </xf>
    <xf numFmtId="0" fontId="20" fillId="0" borderId="56" xfId="0" applyFont="1" applyBorder="1" applyAlignment="1">
      <alignment horizontal="left" vertical="top" wrapText="1"/>
    </xf>
    <xf numFmtId="0" fontId="20" fillId="0" borderId="58" xfId="0" applyFont="1" applyBorder="1" applyAlignment="1">
      <alignment horizontal="left" vertical="top" wrapText="1"/>
    </xf>
    <xf numFmtId="0" fontId="20" fillId="0" borderId="59" xfId="0" applyFont="1" applyBorder="1" applyAlignment="1">
      <alignment horizontal="left" vertical="top" wrapText="1"/>
    </xf>
    <xf numFmtId="0" fontId="20" fillId="7" borderId="56" xfId="0" applyFont="1" applyFill="1" applyBorder="1" applyAlignment="1">
      <alignment horizontal="left" vertical="top" wrapText="1"/>
    </xf>
    <xf numFmtId="0" fontId="20" fillId="7" borderId="58" xfId="0" applyFont="1" applyFill="1" applyBorder="1" applyAlignment="1">
      <alignment horizontal="left" vertical="top" wrapText="1"/>
    </xf>
    <xf numFmtId="0" fontId="20" fillId="7" borderId="59" xfId="0" applyFont="1" applyFill="1" applyBorder="1" applyAlignment="1">
      <alignment horizontal="left" vertical="top" wrapText="1"/>
    </xf>
    <xf numFmtId="0" fontId="20" fillId="10" borderId="40" xfId="0" applyFont="1" applyFill="1" applyBorder="1" applyAlignment="1">
      <alignment horizontal="left" vertical="top" wrapText="1"/>
    </xf>
    <xf numFmtId="0" fontId="20" fillId="7" borderId="40" xfId="0" applyFont="1" applyFill="1" applyBorder="1" applyAlignment="1">
      <alignment horizontal="left" vertical="top" wrapText="1"/>
    </xf>
    <xf numFmtId="0" fontId="20" fillId="0" borderId="40" xfId="0" applyFont="1" applyBorder="1" applyAlignment="1">
      <alignment horizontal="left" vertical="top" wrapText="1"/>
    </xf>
    <xf numFmtId="0" fontId="19" fillId="4" borderId="52" xfId="0" applyFont="1" applyFill="1" applyBorder="1" applyAlignment="1">
      <alignment horizontal="center" vertical="center"/>
    </xf>
    <xf numFmtId="0" fontId="19" fillId="4" borderId="54" xfId="0" applyFont="1" applyFill="1" applyBorder="1" applyAlignment="1">
      <alignment horizontal="center" vertical="center"/>
    </xf>
    <xf numFmtId="0" fontId="19" fillId="4" borderId="53" xfId="0" applyFont="1" applyFill="1" applyBorder="1" applyAlignment="1">
      <alignment horizontal="center" vertical="center"/>
    </xf>
    <xf numFmtId="0" fontId="19" fillId="6" borderId="51" xfId="0" applyFont="1" applyFill="1" applyBorder="1" applyAlignment="1">
      <alignment horizontal="center" vertical="center"/>
    </xf>
    <xf numFmtId="0" fontId="19" fillId="6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0" fontId="19" fillId="3" borderId="63" xfId="0" applyFont="1" applyFill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/>
    </xf>
    <xf numFmtId="0" fontId="29" fillId="0" borderId="40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left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 shrinkToFit="1"/>
    </xf>
    <xf numFmtId="0" fontId="37" fillId="10" borderId="56" xfId="0" applyFont="1" applyFill="1" applyBorder="1" applyAlignment="1">
      <alignment horizontal="center" vertical="center" wrapText="1"/>
    </xf>
    <xf numFmtId="0" fontId="37" fillId="10" borderId="59" xfId="0" applyFont="1" applyFill="1" applyBorder="1" applyAlignment="1">
      <alignment horizontal="center" vertical="center" wrapText="1"/>
    </xf>
    <xf numFmtId="0" fontId="37" fillId="10" borderId="56" xfId="0" applyFont="1" applyFill="1" applyBorder="1" applyAlignment="1">
      <alignment vertical="center" wrapText="1"/>
    </xf>
    <xf numFmtId="0" fontId="37" fillId="10" borderId="59" xfId="0" applyFont="1" applyFill="1" applyBorder="1" applyAlignment="1">
      <alignment vertical="center" wrapText="1"/>
    </xf>
    <xf numFmtId="0" fontId="37" fillId="0" borderId="56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0" fontId="37" fillId="10" borderId="40" xfId="0" applyFont="1" applyFill="1" applyBorder="1" applyAlignment="1">
      <alignment vertical="center" wrapText="1"/>
    </xf>
  </cellXfs>
  <cellStyles count="18">
    <cellStyle name="Normal 14" xfId="15"/>
    <cellStyle name="Normal 2" xfId="7"/>
    <cellStyle name="Normal 2 2" xfId="10"/>
    <cellStyle name="Normal 252 2" xfId="13"/>
    <cellStyle name="Normal 3" xfId="6"/>
    <cellStyle name="Normal 39" xfId="14"/>
    <cellStyle name="Normal 4" xfId="9"/>
    <cellStyle name="Normal 42" xfId="16"/>
    <cellStyle name="Normal 5" xfId="4"/>
    <cellStyle name="Normal 6" xfId="11"/>
    <cellStyle name="Standard 14 2" xfId="3"/>
    <cellStyle name="Standard 2" xfId="1"/>
    <cellStyle name="Standard 2 2" xfId="8"/>
    <cellStyle name="Standard 2 3" xfId="5"/>
    <cellStyle name="Währung 2" xfId="2"/>
    <cellStyle name="Обычный" xfId="0" builtinId="0"/>
    <cellStyle name="Обычный 2" xfId="12"/>
    <cellStyle name="Финансовый" xfId="17" builtinId="3"/>
  </cellStyles>
  <dxfs count="0"/>
  <tableStyles count="0" defaultTableStyle="TableStyleMedium9" defaultPivotStyle="PivotStyleLight16"/>
  <colors>
    <mruColors>
      <color rgb="FFFFCCFF"/>
      <color rgb="FF00FFFF"/>
      <color rgb="FFFFFF99"/>
      <color rgb="FFFFFFCC"/>
      <color rgb="FFCCFFCC"/>
      <color rgb="FFCCCCFF"/>
      <color rgb="FFFF0066"/>
      <color rgb="FFFFFF00"/>
      <color rgb="FF99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1262342</xdr:colOff>
      <xdr:row>2</xdr:row>
      <xdr:rowOff>173130</xdr:rowOff>
    </xdr:from>
    <xdr:to>
      <xdr:col>15</xdr:col>
      <xdr:colOff>207358</xdr:colOff>
      <xdr:row>4</xdr:row>
      <xdr:rowOff>152399</xdr:rowOff>
    </xdr:to>
    <xdr:pic>
      <xdr:nvPicPr>
        <xdr:cNvPr id="1068" name="Рисунок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2242" y="1354230"/>
          <a:ext cx="1050041" cy="779369"/>
        </a:xfrm>
        <a:prstGeom prst="rect">
          <a:avLst/>
        </a:prstGeom>
      </xdr:spPr>
    </xdr:pic>
    <xdr:clientData/>
  </xdr:twoCellAnchor>
  <xdr:twoCellAnchor editAs="oneCell">
    <xdr:from>
      <xdr:col>1</xdr:col>
      <xdr:colOff>193749</xdr:colOff>
      <xdr:row>25</xdr:row>
      <xdr:rowOff>38549</xdr:rowOff>
    </xdr:from>
    <xdr:to>
      <xdr:col>5</xdr:col>
      <xdr:colOff>93828</xdr:colOff>
      <xdr:row>27</xdr:row>
      <xdr:rowOff>202472</xdr:rowOff>
    </xdr:to>
    <xdr:pic>
      <xdr:nvPicPr>
        <xdr:cNvPr id="1069" name="Рисунок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899" y="8811074"/>
          <a:ext cx="824004" cy="611598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266699</xdr:colOff>
      <xdr:row>3</xdr:row>
      <xdr:rowOff>142874</xdr:rowOff>
    </xdr:from>
    <xdr:to>
      <xdr:col>11</xdr:col>
      <xdr:colOff>358505</xdr:colOff>
      <xdr:row>3</xdr:row>
      <xdr:rowOff>609599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514474"/>
          <a:ext cx="2482581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S29"/>
  <sheetViews>
    <sheetView view="pageBreakPreview" zoomScaleNormal="100" zoomScaleSheetLayoutView="100" workbookViewId="0">
      <selection activeCell="E13" sqref="E13:N13"/>
    </sheetView>
  </sheetViews>
  <sheetFormatPr defaultColWidth="11.42578125" defaultRowHeight="12.75" x14ac:dyDescent="0.2"/>
  <cols>
    <col min="1" max="1" width="0.85546875" customWidth="1"/>
    <col min="2" max="2" width="4.42578125" customWidth="1"/>
    <col min="3" max="4" width="3" customWidth="1"/>
    <col min="5" max="5" width="3.42578125" customWidth="1"/>
    <col min="6" max="6" width="2.85546875" customWidth="1"/>
    <col min="7" max="7" width="3.5703125" customWidth="1"/>
    <col min="8" max="8" width="1.85546875" customWidth="1"/>
    <col min="9" max="11" width="4.5703125" customWidth="1"/>
    <col min="12" max="12" width="8.42578125" customWidth="1"/>
    <col min="13" max="13" width="20.5703125" customWidth="1"/>
    <col min="14" max="14" width="5.5703125" customWidth="1"/>
    <col min="15" max="15" width="5.42578125" customWidth="1"/>
    <col min="16" max="17" width="5.5703125" customWidth="1"/>
    <col min="18" max="18" width="3.5703125" customWidth="1"/>
    <col min="19" max="19" width="6.42578125" customWidth="1"/>
  </cols>
  <sheetData>
    <row r="1" spans="2:19" ht="74.25" customHeight="1" thickTop="1" thickBot="1" x14ac:dyDescent="0.25">
      <c r="B1" s="153" t="s">
        <v>31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5"/>
    </row>
    <row r="2" spans="2:19" ht="19.350000000000001" customHeight="1" thickBot="1" x14ac:dyDescent="0.25">
      <c r="B2" s="156" t="s">
        <v>24</v>
      </c>
      <c r="C2" s="157"/>
      <c r="D2" s="157"/>
      <c r="E2" s="157"/>
      <c r="F2" s="157"/>
      <c r="G2" s="157"/>
      <c r="H2" s="157"/>
      <c r="I2" s="157"/>
      <c r="J2" s="157"/>
      <c r="K2" s="157"/>
      <c r="L2" s="158"/>
      <c r="M2" s="159" t="s">
        <v>29</v>
      </c>
      <c r="N2" s="160"/>
      <c r="O2" s="160"/>
      <c r="P2" s="160"/>
      <c r="Q2" s="160"/>
      <c r="R2" s="160"/>
      <c r="S2" s="161"/>
    </row>
    <row r="3" spans="2:19" ht="15" customHeight="1" x14ac:dyDescent="0.2">
      <c r="B3" s="171" t="s">
        <v>30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62" t="s">
        <v>28</v>
      </c>
      <c r="N3" s="163"/>
      <c r="O3" s="163"/>
      <c r="P3" s="163"/>
      <c r="Q3" s="163"/>
      <c r="R3" s="163"/>
      <c r="S3" s="164"/>
    </row>
    <row r="4" spans="2:19" ht="48" customHeight="1" x14ac:dyDescent="0.2">
      <c r="B4" s="17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65"/>
      <c r="N4" s="166"/>
      <c r="O4" s="166"/>
      <c r="P4" s="166"/>
      <c r="Q4" s="166"/>
      <c r="R4" s="166"/>
      <c r="S4" s="167"/>
    </row>
    <row r="5" spans="2:19" ht="42.75" customHeight="1" thickBot="1" x14ac:dyDescent="0.25">
      <c r="B5" s="175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68"/>
      <c r="N5" s="169"/>
      <c r="O5" s="169"/>
      <c r="P5" s="169"/>
      <c r="Q5" s="169"/>
      <c r="R5" s="169"/>
      <c r="S5" s="170"/>
    </row>
    <row r="6" spans="2:19" ht="23.25" x14ac:dyDescent="0.2">
      <c r="B6" s="177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9"/>
      <c r="N6" s="179"/>
      <c r="O6" s="179"/>
      <c r="P6" s="179"/>
      <c r="Q6" s="179"/>
      <c r="R6" s="179"/>
      <c r="S6" s="180"/>
    </row>
    <row r="7" spans="2:19" ht="23.25" x14ac:dyDescent="0.2">
      <c r="B7" s="181" t="s">
        <v>32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</row>
    <row r="8" spans="2:19" ht="15.75" x14ac:dyDescent="0.2">
      <c r="B8" s="182" t="s">
        <v>23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4"/>
    </row>
    <row r="9" spans="2:19" ht="15.75" thickBot="1" x14ac:dyDescent="0.25">
      <c r="B9" s="185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7"/>
      <c r="P9" s="187"/>
      <c r="Q9" s="187"/>
      <c r="R9" s="187"/>
      <c r="S9" s="188"/>
    </row>
    <row r="10" spans="2:19" ht="16.5" customHeight="1" thickBot="1" x14ac:dyDescent="0.25">
      <c r="B10" s="189" t="s">
        <v>6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1"/>
      <c r="O10" s="192" t="s">
        <v>7</v>
      </c>
      <c r="P10" s="192"/>
      <c r="Q10" s="192"/>
      <c r="R10" s="192"/>
      <c r="S10" s="193"/>
    </row>
    <row r="11" spans="2:19" ht="33" customHeight="1" thickBot="1" x14ac:dyDescent="0.25">
      <c r="B11" s="2" t="s">
        <v>0</v>
      </c>
      <c r="C11" s="198" t="s">
        <v>1</v>
      </c>
      <c r="D11" s="199"/>
      <c r="E11" s="200" t="s">
        <v>8</v>
      </c>
      <c r="F11" s="201"/>
      <c r="G11" s="201"/>
      <c r="H11" s="201"/>
      <c r="I11" s="201"/>
      <c r="J11" s="201"/>
      <c r="K11" s="201"/>
      <c r="L11" s="201"/>
      <c r="M11" s="201"/>
      <c r="N11" s="202"/>
      <c r="O11" s="203"/>
      <c r="P11" s="203"/>
      <c r="Q11" s="203"/>
      <c r="R11" s="203"/>
      <c r="S11" s="204"/>
    </row>
    <row r="12" spans="2:19" ht="33" customHeight="1" thickBot="1" x14ac:dyDescent="0.25">
      <c r="B12" s="2" t="s">
        <v>0</v>
      </c>
      <c r="C12" s="198" t="s">
        <v>2</v>
      </c>
      <c r="D12" s="199"/>
      <c r="E12" s="205" t="s">
        <v>9</v>
      </c>
      <c r="F12" s="206"/>
      <c r="G12" s="206"/>
      <c r="H12" s="206"/>
      <c r="I12" s="206"/>
      <c r="J12" s="206"/>
      <c r="K12" s="206"/>
      <c r="L12" s="206"/>
      <c r="M12" s="206"/>
      <c r="N12" s="207"/>
      <c r="O12" s="203"/>
      <c r="P12" s="203"/>
      <c r="Q12" s="203"/>
      <c r="R12" s="203"/>
      <c r="S12" s="204"/>
    </row>
    <row r="13" spans="2:19" ht="33" customHeight="1" thickBot="1" x14ac:dyDescent="0.25">
      <c r="B13" s="2" t="s">
        <v>0</v>
      </c>
      <c r="C13" s="198" t="s">
        <v>3</v>
      </c>
      <c r="D13" s="199"/>
      <c r="E13" s="208" t="s">
        <v>10</v>
      </c>
      <c r="F13" s="209"/>
      <c r="G13" s="209"/>
      <c r="H13" s="209"/>
      <c r="I13" s="209"/>
      <c r="J13" s="209"/>
      <c r="K13" s="209"/>
      <c r="L13" s="209"/>
      <c r="M13" s="209"/>
      <c r="N13" s="210"/>
      <c r="O13" s="203"/>
      <c r="P13" s="203"/>
      <c r="Q13" s="203"/>
      <c r="R13" s="203"/>
      <c r="S13" s="204"/>
    </row>
    <row r="14" spans="2:19" ht="33" customHeight="1" thickBot="1" x14ac:dyDescent="0.25">
      <c r="B14" s="2" t="s">
        <v>0</v>
      </c>
      <c r="C14" s="198" t="s">
        <v>4</v>
      </c>
      <c r="D14" s="199"/>
      <c r="E14" s="200" t="s">
        <v>11</v>
      </c>
      <c r="F14" s="201"/>
      <c r="G14" s="201"/>
      <c r="H14" s="201"/>
      <c r="I14" s="201"/>
      <c r="J14" s="201"/>
      <c r="K14" s="201"/>
      <c r="L14" s="201"/>
      <c r="M14" s="201"/>
      <c r="N14" s="202"/>
      <c r="O14" s="203"/>
      <c r="P14" s="203"/>
      <c r="Q14" s="203"/>
      <c r="R14" s="203"/>
      <c r="S14" s="204"/>
    </row>
    <row r="15" spans="2:19" ht="33" customHeight="1" thickBot="1" x14ac:dyDescent="0.25">
      <c r="B15" s="2" t="s">
        <v>0</v>
      </c>
      <c r="C15" s="198" t="s">
        <v>5</v>
      </c>
      <c r="D15" s="199"/>
      <c r="E15" s="205" t="s">
        <v>12</v>
      </c>
      <c r="F15" s="206"/>
      <c r="G15" s="206"/>
      <c r="H15" s="206"/>
      <c r="I15" s="206"/>
      <c r="J15" s="206"/>
      <c r="K15" s="206"/>
      <c r="L15" s="206"/>
      <c r="M15" s="206"/>
      <c r="N15" s="207"/>
      <c r="O15" s="203"/>
      <c r="P15" s="203"/>
      <c r="Q15" s="203"/>
      <c r="R15" s="203"/>
      <c r="S15" s="204"/>
    </row>
    <row r="16" spans="2:19" ht="29.1" customHeight="1" thickBot="1" x14ac:dyDescent="0.25">
      <c r="B16" s="211" t="s">
        <v>13</v>
      </c>
      <c r="C16" s="212"/>
      <c r="D16" s="212"/>
      <c r="E16" s="212"/>
      <c r="F16" s="212"/>
      <c r="G16" s="212"/>
      <c r="H16" s="212"/>
      <c r="I16" s="212"/>
      <c r="J16" s="3"/>
      <c r="K16" s="3"/>
      <c r="L16" s="212" t="s">
        <v>14</v>
      </c>
      <c r="M16" s="212"/>
      <c r="N16" s="213"/>
      <c r="O16" s="214"/>
      <c r="P16" s="215"/>
      <c r="Q16" s="215"/>
      <c r="R16" s="215"/>
      <c r="S16" s="216"/>
    </row>
    <row r="17" spans="2:19" ht="29.1" customHeight="1" thickBot="1" x14ac:dyDescent="0.25">
      <c r="B17" s="220" t="s">
        <v>25</v>
      </c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2"/>
      <c r="O17" s="217"/>
      <c r="P17" s="218"/>
      <c r="Q17" s="218"/>
      <c r="R17" s="218"/>
      <c r="S17" s="219"/>
    </row>
    <row r="18" spans="2:19" ht="27" customHeight="1" thickBot="1" x14ac:dyDescent="0.25">
      <c r="B18" s="194" t="s">
        <v>15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6"/>
      <c r="P18" s="196"/>
      <c r="Q18" s="196"/>
      <c r="R18" s="196"/>
      <c r="S18" s="197"/>
    </row>
    <row r="19" spans="2:19" ht="22.35" customHeight="1" thickBot="1" x14ac:dyDescent="0.25">
      <c r="B19" s="225"/>
      <c r="C19" s="226"/>
      <c r="D19" s="223"/>
      <c r="E19" s="227"/>
      <c r="F19" s="227"/>
      <c r="G19" s="228"/>
      <c r="H19" s="229"/>
      <c r="I19" s="227"/>
      <c r="J19" s="227"/>
      <c r="K19" s="227"/>
      <c r="L19" s="227"/>
      <c r="M19" s="226"/>
      <c r="N19" s="223"/>
      <c r="O19" s="226"/>
      <c r="P19" s="223"/>
      <c r="Q19" s="226"/>
      <c r="R19" s="223"/>
      <c r="S19" s="224"/>
    </row>
    <row r="20" spans="2:19" ht="22.35" customHeight="1" thickBot="1" x14ac:dyDescent="0.25">
      <c r="B20" s="225"/>
      <c r="C20" s="226"/>
      <c r="D20" s="230"/>
      <c r="E20" s="227"/>
      <c r="F20" s="227"/>
      <c r="G20" s="228"/>
      <c r="H20" s="231"/>
      <c r="I20" s="206"/>
      <c r="J20" s="206"/>
      <c r="K20" s="206"/>
      <c r="L20" s="206"/>
      <c r="M20" s="207"/>
      <c r="N20" s="232"/>
      <c r="O20" s="233"/>
      <c r="P20" s="232"/>
      <c r="Q20" s="233"/>
      <c r="R20" s="223"/>
      <c r="S20" s="224"/>
    </row>
    <row r="21" spans="2:19" ht="22.35" customHeight="1" thickBot="1" x14ac:dyDescent="0.25">
      <c r="B21" s="225"/>
      <c r="C21" s="226"/>
      <c r="D21" s="230"/>
      <c r="E21" s="227"/>
      <c r="F21" s="227"/>
      <c r="G21" s="228"/>
      <c r="H21" s="231"/>
      <c r="I21" s="206"/>
      <c r="J21" s="206"/>
      <c r="K21" s="206"/>
      <c r="L21" s="206"/>
      <c r="M21" s="207"/>
      <c r="N21" s="232"/>
      <c r="O21" s="233"/>
      <c r="P21" s="232"/>
      <c r="Q21" s="233"/>
      <c r="R21" s="232"/>
      <c r="S21" s="233"/>
    </row>
    <row r="22" spans="2:19" ht="22.35" customHeight="1" thickBot="1" x14ac:dyDescent="0.25">
      <c r="B22" s="225"/>
      <c r="C22" s="226"/>
      <c r="D22" s="230"/>
      <c r="E22" s="227"/>
      <c r="F22" s="227"/>
      <c r="G22" s="228"/>
      <c r="H22" s="231"/>
      <c r="I22" s="206"/>
      <c r="J22" s="206"/>
      <c r="K22" s="206"/>
      <c r="L22" s="206"/>
      <c r="M22" s="207"/>
      <c r="N22" s="232"/>
      <c r="O22" s="233"/>
      <c r="P22" s="232"/>
      <c r="Q22" s="233"/>
      <c r="R22" s="232"/>
      <c r="S22" s="233"/>
    </row>
    <row r="23" spans="2:19" ht="22.35" customHeight="1" thickBot="1" x14ac:dyDescent="0.25">
      <c r="B23" s="234"/>
      <c r="C23" s="235"/>
      <c r="D23" s="230"/>
      <c r="E23" s="227"/>
      <c r="F23" s="227"/>
      <c r="G23" s="228"/>
      <c r="H23" s="231"/>
      <c r="I23" s="206"/>
      <c r="J23" s="206"/>
      <c r="K23" s="206"/>
      <c r="L23" s="206"/>
      <c r="M23" s="207"/>
      <c r="N23" s="232"/>
      <c r="O23" s="233"/>
      <c r="P23" s="232"/>
      <c r="Q23" s="233"/>
      <c r="R23" s="223"/>
      <c r="S23" s="224"/>
    </row>
    <row r="24" spans="2:19" ht="22.35" customHeight="1" thickBot="1" x14ac:dyDescent="0.25">
      <c r="B24" s="236"/>
      <c r="C24" s="233"/>
      <c r="D24" s="230"/>
      <c r="E24" s="227"/>
      <c r="F24" s="227"/>
      <c r="G24" s="228"/>
      <c r="H24" s="231"/>
      <c r="I24" s="206"/>
      <c r="J24" s="206"/>
      <c r="K24" s="206"/>
      <c r="L24" s="206"/>
      <c r="M24" s="207"/>
      <c r="N24" s="232"/>
      <c r="O24" s="233"/>
      <c r="P24" s="232"/>
      <c r="Q24" s="233"/>
      <c r="R24" s="223"/>
      <c r="S24" s="224"/>
    </row>
    <row r="25" spans="2:19" ht="28.35" customHeight="1" thickBot="1" x14ac:dyDescent="0.25">
      <c r="B25" s="249" t="s">
        <v>16</v>
      </c>
      <c r="C25" s="250"/>
      <c r="D25" s="251" t="s">
        <v>17</v>
      </c>
      <c r="E25" s="252"/>
      <c r="F25" s="252"/>
      <c r="G25" s="253"/>
      <c r="H25" s="254" t="s">
        <v>18</v>
      </c>
      <c r="I25" s="252"/>
      <c r="J25" s="252"/>
      <c r="K25" s="252"/>
      <c r="L25" s="252"/>
      <c r="M25" s="250"/>
      <c r="N25" s="251" t="s">
        <v>19</v>
      </c>
      <c r="O25" s="250"/>
      <c r="P25" s="251" t="s">
        <v>20</v>
      </c>
      <c r="Q25" s="250"/>
      <c r="R25" s="251" t="s">
        <v>21</v>
      </c>
      <c r="S25" s="255"/>
    </row>
    <row r="26" spans="2:19" ht="15" customHeight="1" x14ac:dyDescent="0.2">
      <c r="B26" s="237"/>
      <c r="C26" s="238"/>
      <c r="D26" s="238"/>
      <c r="E26" s="238"/>
      <c r="F26" s="238"/>
      <c r="G26" s="243" t="s">
        <v>22</v>
      </c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4"/>
    </row>
    <row r="27" spans="2:19" ht="20.25" customHeight="1" x14ac:dyDescent="0.2">
      <c r="B27" s="239"/>
      <c r="C27" s="240"/>
      <c r="D27" s="240"/>
      <c r="E27" s="240"/>
      <c r="F27" s="240"/>
      <c r="G27" s="245" t="s">
        <v>26</v>
      </c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6"/>
    </row>
    <row r="28" spans="2:19" ht="19.350000000000001" customHeight="1" thickBot="1" x14ac:dyDescent="0.25">
      <c r="B28" s="241"/>
      <c r="C28" s="242"/>
      <c r="D28" s="242"/>
      <c r="E28" s="242"/>
      <c r="F28" s="242"/>
      <c r="G28" s="247" t="s">
        <v>27</v>
      </c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8"/>
    </row>
    <row r="29" spans="2:19" ht="13.5" thickTop="1" x14ac:dyDescent="0.2">
      <c r="B29" s="1"/>
    </row>
  </sheetData>
  <mergeCells count="73">
    <mergeCell ref="B26:F28"/>
    <mergeCell ref="G26:S26"/>
    <mergeCell ref="G27:S27"/>
    <mergeCell ref="G28:S28"/>
    <mergeCell ref="B25:C25"/>
    <mergeCell ref="D25:G25"/>
    <mergeCell ref="H25:M25"/>
    <mergeCell ref="N25:O25"/>
    <mergeCell ref="P25:Q25"/>
    <mergeCell ref="R25:S25"/>
    <mergeCell ref="R24:S24"/>
    <mergeCell ref="B23:C23"/>
    <mergeCell ref="D23:G23"/>
    <mergeCell ref="H23:M23"/>
    <mergeCell ref="N23:O23"/>
    <mergeCell ref="P23:Q23"/>
    <mergeCell ref="R23:S23"/>
    <mergeCell ref="B24:C24"/>
    <mergeCell ref="D24:G24"/>
    <mergeCell ref="H24:M24"/>
    <mergeCell ref="N24:O24"/>
    <mergeCell ref="P24:Q24"/>
    <mergeCell ref="R22:S22"/>
    <mergeCell ref="B21:C21"/>
    <mergeCell ref="D21:G21"/>
    <mergeCell ref="H21:M21"/>
    <mergeCell ref="N21:O21"/>
    <mergeCell ref="P21:Q21"/>
    <mergeCell ref="R21:S21"/>
    <mergeCell ref="B22:C22"/>
    <mergeCell ref="D22:G22"/>
    <mergeCell ref="H22:M22"/>
    <mergeCell ref="N22:O22"/>
    <mergeCell ref="P22:Q22"/>
    <mergeCell ref="R20:S20"/>
    <mergeCell ref="B19:C19"/>
    <mergeCell ref="D19:G19"/>
    <mergeCell ref="H19:M19"/>
    <mergeCell ref="N19:O19"/>
    <mergeCell ref="P19:Q19"/>
    <mergeCell ref="R19:S19"/>
    <mergeCell ref="B20:C20"/>
    <mergeCell ref="D20:G20"/>
    <mergeCell ref="H20:M20"/>
    <mergeCell ref="N20:O20"/>
    <mergeCell ref="P20:Q20"/>
    <mergeCell ref="B18:S18"/>
    <mergeCell ref="C11:D11"/>
    <mergeCell ref="E11:N11"/>
    <mergeCell ref="O11:S15"/>
    <mergeCell ref="C12:D12"/>
    <mergeCell ref="E12:N12"/>
    <mergeCell ref="C13:D13"/>
    <mergeCell ref="E13:N13"/>
    <mergeCell ref="C14:D14"/>
    <mergeCell ref="E14:N14"/>
    <mergeCell ref="C15:D15"/>
    <mergeCell ref="E15:N15"/>
    <mergeCell ref="B16:I16"/>
    <mergeCell ref="L16:N16"/>
    <mergeCell ref="O16:S17"/>
    <mergeCell ref="B17:N17"/>
    <mergeCell ref="B6:S6"/>
    <mergeCell ref="B7:S7"/>
    <mergeCell ref="B8:S8"/>
    <mergeCell ref="B9:S9"/>
    <mergeCell ref="B10:N10"/>
    <mergeCell ref="O10:S10"/>
    <mergeCell ref="B1:S1"/>
    <mergeCell ref="B2:L2"/>
    <mergeCell ref="M2:S2"/>
    <mergeCell ref="M3:S5"/>
    <mergeCell ref="B3:L5"/>
  </mergeCells>
  <pageMargins left="0.43307086614173229" right="0.47244094488188981" top="0.59055118110236227" bottom="0.39370078740157483" header="0.31496062992125984" footer="0.31496062992125984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L12"/>
  <sheetViews>
    <sheetView workbookViewId="0">
      <selection activeCell="L4" sqref="L4"/>
    </sheetView>
  </sheetViews>
  <sheetFormatPr defaultRowHeight="12.75" x14ac:dyDescent="0.2"/>
  <cols>
    <col min="12" max="12" width="64.5703125" customWidth="1"/>
  </cols>
  <sheetData>
    <row r="2" spans="2:12" ht="25.5" customHeight="1" x14ac:dyDescent="0.2">
      <c r="B2" s="257" t="s">
        <v>113</v>
      </c>
      <c r="C2" s="257"/>
      <c r="D2" s="257"/>
      <c r="E2" s="257"/>
      <c r="F2" s="257"/>
      <c r="G2" s="257"/>
      <c r="H2" s="257"/>
      <c r="I2" s="257"/>
      <c r="J2" s="257"/>
      <c r="K2" s="257"/>
      <c r="L2" s="41" t="s">
        <v>114</v>
      </c>
    </row>
    <row r="3" spans="2:12" ht="96.75" customHeight="1" x14ac:dyDescent="0.2">
      <c r="B3" s="265" t="s">
        <v>120</v>
      </c>
      <c r="C3" s="265"/>
      <c r="D3" s="265"/>
      <c r="E3" s="265"/>
      <c r="F3" s="265"/>
      <c r="G3" s="265"/>
      <c r="H3" s="265"/>
      <c r="I3" s="265"/>
      <c r="J3" s="265"/>
      <c r="K3" s="265"/>
      <c r="L3" s="18"/>
    </row>
    <row r="4" spans="2:12" ht="83.25" customHeight="1" x14ac:dyDescent="0.2">
      <c r="B4" s="258" t="s">
        <v>125</v>
      </c>
      <c r="C4" s="259"/>
      <c r="D4" s="259"/>
      <c r="E4" s="259"/>
      <c r="F4" s="259"/>
      <c r="G4" s="259"/>
      <c r="H4" s="259"/>
      <c r="I4" s="259"/>
      <c r="J4" s="259"/>
      <c r="K4" s="260"/>
      <c r="L4" s="6"/>
    </row>
    <row r="5" spans="2:12" ht="81" customHeight="1" x14ac:dyDescent="0.2">
      <c r="B5" s="261" t="s">
        <v>119</v>
      </c>
      <c r="C5" s="262"/>
      <c r="D5" s="262"/>
      <c r="E5" s="262"/>
      <c r="F5" s="262"/>
      <c r="G5" s="262"/>
      <c r="H5" s="262"/>
      <c r="I5" s="262"/>
      <c r="J5" s="262"/>
      <c r="K5" s="263"/>
      <c r="L5" s="18"/>
    </row>
    <row r="6" spans="2:12" ht="36" customHeight="1" x14ac:dyDescent="0.2">
      <c r="B6" s="266" t="s">
        <v>124</v>
      </c>
      <c r="C6" s="266"/>
      <c r="D6" s="266"/>
      <c r="E6" s="266"/>
      <c r="F6" s="266"/>
      <c r="G6" s="266"/>
      <c r="H6" s="266"/>
      <c r="I6" s="266"/>
      <c r="J6" s="266"/>
      <c r="K6" s="266"/>
      <c r="L6" s="6"/>
    </row>
    <row r="7" spans="2:12" ht="48.75" customHeight="1" x14ac:dyDescent="0.2">
      <c r="B7" s="261" t="s">
        <v>121</v>
      </c>
      <c r="C7" s="262"/>
      <c r="D7" s="262"/>
      <c r="E7" s="262"/>
      <c r="F7" s="262"/>
      <c r="G7" s="262"/>
      <c r="H7" s="262"/>
      <c r="I7" s="262"/>
      <c r="J7" s="262"/>
      <c r="K7" s="263"/>
      <c r="L7" s="18"/>
    </row>
    <row r="8" spans="2:12" ht="409.5" customHeight="1" x14ac:dyDescent="0.2">
      <c r="B8" s="264" t="s">
        <v>122</v>
      </c>
      <c r="C8" s="264"/>
      <c r="D8" s="264"/>
      <c r="E8" s="264"/>
      <c r="F8" s="264"/>
      <c r="G8" s="264"/>
      <c r="H8" s="264"/>
      <c r="I8" s="264"/>
      <c r="J8" s="264"/>
      <c r="K8" s="264"/>
      <c r="L8" s="256"/>
    </row>
    <row r="9" spans="2:12" ht="409.5" customHeight="1" x14ac:dyDescent="0.2"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56"/>
    </row>
    <row r="10" spans="2:12" x14ac:dyDescent="0.2"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spans="2:12" x14ac:dyDescent="0.2"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spans="2:12" x14ac:dyDescent="0.2">
      <c r="B12" s="39"/>
      <c r="C12" s="39"/>
      <c r="D12" s="39"/>
      <c r="E12" s="39"/>
      <c r="F12" s="39"/>
      <c r="G12" s="39"/>
      <c r="H12" s="39"/>
      <c r="I12" s="39"/>
      <c r="J12" s="39"/>
      <c r="K12" s="39"/>
    </row>
  </sheetData>
  <mergeCells count="8">
    <mergeCell ref="L8:L9"/>
    <mergeCell ref="B2:K2"/>
    <mergeCell ref="B4:K4"/>
    <mergeCell ref="B5:K5"/>
    <mergeCell ref="B8:K9"/>
    <mergeCell ref="B3:K3"/>
    <mergeCell ref="B6:K6"/>
    <mergeCell ref="B7:K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J41"/>
  <sheetViews>
    <sheetView view="pageBreakPreview" topLeftCell="A3" zoomScaleNormal="100" zoomScaleSheetLayoutView="100" workbookViewId="0">
      <selection activeCell="D19" sqref="D19"/>
    </sheetView>
  </sheetViews>
  <sheetFormatPr defaultRowHeight="12.75" x14ac:dyDescent="0.2"/>
  <cols>
    <col min="1" max="1" width="9.140625" style="5"/>
    <col min="2" max="2" width="34.85546875" style="4" customWidth="1"/>
    <col min="3" max="3" width="26.42578125" customWidth="1"/>
    <col min="4" max="4" width="19" customWidth="1"/>
    <col min="5" max="5" width="19.28515625" style="32" customWidth="1"/>
    <col min="6" max="6" width="19.7109375" style="34" customWidth="1"/>
    <col min="7" max="9" width="20.7109375" customWidth="1"/>
    <col min="10" max="10" width="22.140625" customWidth="1"/>
  </cols>
  <sheetData>
    <row r="1" spans="1:10" ht="13.5" thickBot="1" x14ac:dyDescent="0.25"/>
    <row r="2" spans="1:10" ht="22.5" customHeight="1" thickBot="1" x14ac:dyDescent="0.25">
      <c r="A2" s="270" t="s">
        <v>34</v>
      </c>
      <c r="B2" s="271"/>
      <c r="C2" s="271"/>
      <c r="D2" s="271"/>
      <c r="E2" s="267" t="s">
        <v>110</v>
      </c>
      <c r="F2" s="267"/>
      <c r="G2" s="268"/>
      <c r="H2" s="268"/>
      <c r="I2" s="268"/>
      <c r="J2" s="269"/>
    </row>
    <row r="3" spans="1:10" ht="70.5" customHeight="1" thickBot="1" x14ac:dyDescent="0.25">
      <c r="A3" s="12" t="s">
        <v>37</v>
      </c>
      <c r="B3" s="25" t="s">
        <v>33</v>
      </c>
      <c r="C3" s="25" t="s">
        <v>35</v>
      </c>
      <c r="D3" s="25" t="s">
        <v>36</v>
      </c>
      <c r="E3" s="31" t="s">
        <v>117</v>
      </c>
      <c r="F3" s="33" t="s">
        <v>112</v>
      </c>
      <c r="G3" s="58" t="s">
        <v>118</v>
      </c>
      <c r="H3" s="58" t="s">
        <v>112</v>
      </c>
      <c r="I3" s="30" t="s">
        <v>123</v>
      </c>
      <c r="J3" s="30" t="s">
        <v>112</v>
      </c>
    </row>
    <row r="4" spans="1:10" ht="29.25" customHeight="1" thickBot="1" x14ac:dyDescent="0.25">
      <c r="A4" s="272" t="s">
        <v>55</v>
      </c>
      <c r="B4" s="273"/>
      <c r="C4" s="273"/>
      <c r="D4" s="273"/>
      <c r="E4" s="273"/>
      <c r="F4" s="273"/>
      <c r="G4" s="274"/>
      <c r="H4" s="274"/>
      <c r="I4" s="275"/>
      <c r="J4" s="276"/>
    </row>
    <row r="5" spans="1:10" s="11" customFormat="1" ht="48" customHeight="1" x14ac:dyDescent="0.25">
      <c r="A5" s="13" t="s">
        <v>75</v>
      </c>
      <c r="B5" s="9" t="s">
        <v>38</v>
      </c>
      <c r="C5" s="10"/>
      <c r="D5" s="40" t="s">
        <v>115</v>
      </c>
      <c r="E5" s="35" t="s">
        <v>111</v>
      </c>
      <c r="F5" s="46" t="s">
        <v>116</v>
      </c>
      <c r="G5" s="50"/>
      <c r="H5" s="51"/>
      <c r="I5" s="42"/>
      <c r="J5" s="29"/>
    </row>
    <row r="6" spans="1:10" ht="26.25" x14ac:dyDescent="0.25">
      <c r="A6" s="14" t="s">
        <v>76</v>
      </c>
      <c r="B6" s="7" t="s">
        <v>39</v>
      </c>
      <c r="C6" s="6"/>
      <c r="D6" s="26"/>
      <c r="E6" s="36"/>
      <c r="F6" s="47"/>
      <c r="G6" s="52"/>
      <c r="H6" s="53"/>
      <c r="I6" s="43"/>
      <c r="J6" s="8"/>
    </row>
    <row r="7" spans="1:10" s="11" customFormat="1" ht="26.25" x14ac:dyDescent="0.25">
      <c r="A7" s="16" t="s">
        <v>77</v>
      </c>
      <c r="B7" s="17" t="s">
        <v>40</v>
      </c>
      <c r="C7" s="18"/>
      <c r="D7" s="27"/>
      <c r="E7" s="37"/>
      <c r="F7" s="48"/>
      <c r="G7" s="54"/>
      <c r="H7" s="55"/>
      <c r="I7" s="44"/>
      <c r="J7" s="19"/>
    </row>
    <row r="8" spans="1:10" ht="26.25" x14ac:dyDescent="0.25">
      <c r="A8" s="14" t="s">
        <v>78</v>
      </c>
      <c r="B8" s="7" t="s">
        <v>41</v>
      </c>
      <c r="C8" s="6"/>
      <c r="D8" s="26"/>
      <c r="E8" s="36"/>
      <c r="F8" s="47"/>
      <c r="G8" s="52"/>
      <c r="H8" s="53"/>
      <c r="I8" s="43"/>
      <c r="J8" s="8"/>
    </row>
    <row r="9" spans="1:10" s="11" customFormat="1" ht="39" x14ac:dyDescent="0.25">
      <c r="A9" s="16" t="s">
        <v>79</v>
      </c>
      <c r="B9" s="17" t="s">
        <v>73</v>
      </c>
      <c r="C9" s="18"/>
      <c r="D9" s="27"/>
      <c r="E9" s="37"/>
      <c r="F9" s="48"/>
      <c r="G9" s="54"/>
      <c r="H9" s="55"/>
      <c r="I9" s="44"/>
      <c r="J9" s="19"/>
    </row>
    <row r="10" spans="1:10" ht="39" x14ac:dyDescent="0.25">
      <c r="A10" s="14" t="s">
        <v>80</v>
      </c>
      <c r="B10" s="7" t="s">
        <v>42</v>
      </c>
      <c r="C10" s="6"/>
      <c r="D10" s="26"/>
      <c r="E10" s="36"/>
      <c r="F10" s="47"/>
      <c r="G10" s="52"/>
      <c r="H10" s="53"/>
      <c r="I10" s="43"/>
      <c r="J10" s="8"/>
    </row>
    <row r="11" spans="1:10" s="11" customFormat="1" ht="64.5" x14ac:dyDescent="0.25">
      <c r="A11" s="16" t="s">
        <v>81</v>
      </c>
      <c r="B11" s="17" t="s">
        <v>43</v>
      </c>
      <c r="C11" s="18"/>
      <c r="D11" s="27"/>
      <c r="E11" s="37"/>
      <c r="F11" s="48"/>
      <c r="G11" s="54"/>
      <c r="H11" s="55"/>
      <c r="I11" s="44"/>
      <c r="J11" s="19"/>
    </row>
    <row r="12" spans="1:10" ht="64.5" x14ac:dyDescent="0.25">
      <c r="A12" s="14" t="s">
        <v>82</v>
      </c>
      <c r="B12" s="7" t="s">
        <v>44</v>
      </c>
      <c r="C12" s="6"/>
      <c r="D12" s="26"/>
      <c r="E12" s="36"/>
      <c r="F12" s="47"/>
      <c r="G12" s="52"/>
      <c r="H12" s="53"/>
      <c r="I12" s="43"/>
      <c r="J12" s="8"/>
    </row>
    <row r="13" spans="1:10" s="11" customFormat="1" ht="77.25" x14ac:dyDescent="0.25">
      <c r="A13" s="16" t="s">
        <v>83</v>
      </c>
      <c r="B13" s="17" t="s">
        <v>45</v>
      </c>
      <c r="C13" s="18"/>
      <c r="D13" s="27"/>
      <c r="E13" s="37"/>
      <c r="F13" s="48"/>
      <c r="G13" s="54"/>
      <c r="H13" s="55"/>
      <c r="I13" s="44"/>
      <c r="J13" s="19"/>
    </row>
    <row r="14" spans="1:10" ht="26.25" x14ac:dyDescent="0.25">
      <c r="A14" s="14" t="s">
        <v>84</v>
      </c>
      <c r="B14" s="7" t="s">
        <v>46</v>
      </c>
      <c r="C14" s="6"/>
      <c r="D14" s="26"/>
      <c r="E14" s="36"/>
      <c r="F14" s="47"/>
      <c r="G14" s="52"/>
      <c r="H14" s="53"/>
      <c r="I14" s="43"/>
      <c r="J14" s="8"/>
    </row>
    <row r="15" spans="1:10" s="11" customFormat="1" ht="26.25" x14ac:dyDescent="0.25">
      <c r="A15" s="16" t="s">
        <v>85</v>
      </c>
      <c r="B15" s="17" t="s">
        <v>47</v>
      </c>
      <c r="C15" s="18"/>
      <c r="D15" s="27"/>
      <c r="E15" s="37"/>
      <c r="F15" s="48"/>
      <c r="G15" s="54"/>
      <c r="H15" s="55"/>
      <c r="I15" s="44"/>
      <c r="J15" s="19"/>
    </row>
    <row r="16" spans="1:10" ht="39" x14ac:dyDescent="0.25">
      <c r="A16" s="14" t="s">
        <v>86</v>
      </c>
      <c r="B16" s="7" t="s">
        <v>48</v>
      </c>
      <c r="C16" s="6"/>
      <c r="D16" s="26"/>
      <c r="E16" s="36"/>
      <c r="F16" s="47"/>
      <c r="G16" s="52"/>
      <c r="H16" s="53"/>
      <c r="I16" s="43"/>
      <c r="J16" s="8"/>
    </row>
    <row r="17" spans="1:10" s="11" customFormat="1" ht="39" x14ac:dyDescent="0.25">
      <c r="A17" s="16" t="s">
        <v>87</v>
      </c>
      <c r="B17" s="17" t="s">
        <v>49</v>
      </c>
      <c r="C17" s="18"/>
      <c r="D17" s="27"/>
      <c r="E17" s="37"/>
      <c r="F17" s="48"/>
      <c r="G17" s="54"/>
      <c r="H17" s="55"/>
      <c r="I17" s="44"/>
      <c r="J17" s="19"/>
    </row>
    <row r="18" spans="1:10" ht="39" x14ac:dyDescent="0.25">
      <c r="A18" s="14" t="s">
        <v>88</v>
      </c>
      <c r="B18" s="7" t="s">
        <v>50</v>
      </c>
      <c r="C18" s="6"/>
      <c r="D18" s="26"/>
      <c r="E18" s="36"/>
      <c r="F18" s="47"/>
      <c r="G18" s="52"/>
      <c r="H18" s="53"/>
      <c r="I18" s="43"/>
      <c r="J18" s="8"/>
    </row>
    <row r="19" spans="1:10" s="11" customFormat="1" ht="39" x14ac:dyDescent="0.25">
      <c r="A19" s="16" t="s">
        <v>89</v>
      </c>
      <c r="B19" s="17" t="s">
        <v>51</v>
      </c>
      <c r="C19" s="18"/>
      <c r="D19" s="27"/>
      <c r="E19" s="37"/>
      <c r="F19" s="48"/>
      <c r="G19" s="54"/>
      <c r="H19" s="55"/>
      <c r="I19" s="44"/>
      <c r="J19" s="19"/>
    </row>
    <row r="20" spans="1:10" ht="18" x14ac:dyDescent="0.25">
      <c r="A20" s="15" t="s">
        <v>90</v>
      </c>
      <c r="B20" s="7" t="s">
        <v>52</v>
      </c>
      <c r="C20" s="6"/>
      <c r="D20" s="26"/>
      <c r="E20" s="36"/>
      <c r="F20" s="47"/>
      <c r="G20" s="52"/>
      <c r="H20" s="53"/>
      <c r="I20" s="43"/>
      <c r="J20" s="8"/>
    </row>
    <row r="21" spans="1:10" s="11" customFormat="1" ht="18" x14ac:dyDescent="0.25">
      <c r="A21" s="16" t="s">
        <v>91</v>
      </c>
      <c r="B21" s="17" t="s">
        <v>53</v>
      </c>
      <c r="C21" s="18"/>
      <c r="D21" s="27"/>
      <c r="E21" s="37"/>
      <c r="F21" s="48"/>
      <c r="G21" s="54"/>
      <c r="H21" s="55"/>
      <c r="I21" s="44"/>
      <c r="J21" s="19"/>
    </row>
    <row r="22" spans="1:10" ht="51.75" x14ac:dyDescent="0.25">
      <c r="A22" s="14" t="s">
        <v>92</v>
      </c>
      <c r="B22" s="7" t="s">
        <v>74</v>
      </c>
      <c r="C22" s="6"/>
      <c r="D22" s="26"/>
      <c r="E22" s="36"/>
      <c r="F22" s="47"/>
      <c r="G22" s="52"/>
      <c r="H22" s="53"/>
      <c r="I22" s="43"/>
      <c r="J22" s="8"/>
    </row>
    <row r="23" spans="1:10" ht="18" x14ac:dyDescent="0.25">
      <c r="A23" s="14"/>
      <c r="B23" s="7"/>
      <c r="C23" s="6"/>
      <c r="D23" s="26"/>
      <c r="E23" s="36"/>
      <c r="F23" s="47"/>
      <c r="G23" s="52"/>
      <c r="H23" s="53"/>
      <c r="I23" s="43"/>
      <c r="J23" s="8"/>
    </row>
    <row r="24" spans="1:10" ht="18" x14ac:dyDescent="0.25">
      <c r="A24" s="59" t="s">
        <v>54</v>
      </c>
      <c r="B24" s="60"/>
      <c r="C24" s="61"/>
      <c r="D24" s="62"/>
      <c r="E24" s="63"/>
      <c r="F24" s="64"/>
      <c r="G24" s="65"/>
      <c r="H24" s="66"/>
      <c r="I24" s="67"/>
      <c r="J24" s="68"/>
    </row>
    <row r="25" spans="1:10" s="11" customFormat="1" ht="102.75" x14ac:dyDescent="0.25">
      <c r="A25" s="16" t="s">
        <v>93</v>
      </c>
      <c r="B25" s="17" t="s">
        <v>56</v>
      </c>
      <c r="C25" s="18"/>
      <c r="D25" s="27"/>
      <c r="E25" s="37"/>
      <c r="F25" s="48"/>
      <c r="G25" s="54"/>
      <c r="H25" s="55"/>
      <c r="I25" s="44"/>
      <c r="J25" s="19"/>
    </row>
    <row r="26" spans="1:10" ht="26.25" x14ac:dyDescent="0.25">
      <c r="A26" s="14" t="s">
        <v>94</v>
      </c>
      <c r="B26" s="7" t="s">
        <v>57</v>
      </c>
      <c r="C26" s="6"/>
      <c r="D26" s="26"/>
      <c r="E26" s="36"/>
      <c r="F26" s="47"/>
      <c r="G26" s="52"/>
      <c r="H26" s="53"/>
      <c r="I26" s="43"/>
      <c r="J26" s="8"/>
    </row>
    <row r="27" spans="1:10" s="11" customFormat="1" ht="51.75" x14ac:dyDescent="0.25">
      <c r="A27" s="16" t="s">
        <v>95</v>
      </c>
      <c r="B27" s="17" t="s">
        <v>58</v>
      </c>
      <c r="C27" s="18"/>
      <c r="D27" s="27"/>
      <c r="E27" s="37"/>
      <c r="F27" s="48"/>
      <c r="G27" s="54"/>
      <c r="H27" s="55"/>
      <c r="I27" s="44"/>
      <c r="J27" s="19"/>
    </row>
    <row r="28" spans="1:10" ht="64.5" x14ac:dyDescent="0.25">
      <c r="A28" s="14" t="s">
        <v>96</v>
      </c>
      <c r="B28" s="7" t="s">
        <v>59</v>
      </c>
      <c r="C28" s="6"/>
      <c r="D28" s="26"/>
      <c r="E28" s="36"/>
      <c r="F28" s="47"/>
      <c r="G28" s="52"/>
      <c r="H28" s="53"/>
      <c r="I28" s="43"/>
      <c r="J28" s="8"/>
    </row>
    <row r="29" spans="1:10" s="11" customFormat="1" ht="39" x14ac:dyDescent="0.25">
      <c r="A29" s="16" t="s">
        <v>97</v>
      </c>
      <c r="B29" s="17" t="s">
        <v>60</v>
      </c>
      <c r="C29" s="18"/>
      <c r="D29" s="27"/>
      <c r="E29" s="37"/>
      <c r="F29" s="48"/>
      <c r="G29" s="54"/>
      <c r="H29" s="55"/>
      <c r="I29" s="44"/>
      <c r="J29" s="19"/>
    </row>
    <row r="30" spans="1:10" ht="18" x14ac:dyDescent="0.25">
      <c r="A30" s="14" t="s">
        <v>98</v>
      </c>
      <c r="B30" s="7" t="s">
        <v>61</v>
      </c>
      <c r="C30" s="6"/>
      <c r="D30" s="26"/>
      <c r="E30" s="36"/>
      <c r="F30" s="47"/>
      <c r="G30" s="52"/>
      <c r="H30" s="53"/>
      <c r="I30" s="43"/>
      <c r="J30" s="8"/>
    </row>
    <row r="31" spans="1:10" s="11" customFormat="1" ht="51.75" x14ac:dyDescent="0.25">
      <c r="A31" s="16" t="s">
        <v>99</v>
      </c>
      <c r="B31" s="17" t="s">
        <v>62</v>
      </c>
      <c r="C31" s="18"/>
      <c r="D31" s="27"/>
      <c r="E31" s="37"/>
      <c r="F31" s="48"/>
      <c r="G31" s="54"/>
      <c r="H31" s="55"/>
      <c r="I31" s="44"/>
      <c r="J31" s="19"/>
    </row>
    <row r="32" spans="1:10" ht="26.25" x14ac:dyDescent="0.25">
      <c r="A32" s="14" t="s">
        <v>100</v>
      </c>
      <c r="B32" s="7" t="s">
        <v>63</v>
      </c>
      <c r="C32" s="6"/>
      <c r="D32" s="26"/>
      <c r="E32" s="36"/>
      <c r="F32" s="47"/>
      <c r="G32" s="52"/>
      <c r="H32" s="53"/>
      <c r="I32" s="43"/>
      <c r="J32" s="8"/>
    </row>
    <row r="33" spans="1:10" s="11" customFormat="1" ht="26.25" x14ac:dyDescent="0.25">
      <c r="A33" s="16" t="s">
        <v>101</v>
      </c>
      <c r="B33" s="17" t="s">
        <v>64</v>
      </c>
      <c r="C33" s="18"/>
      <c r="D33" s="27"/>
      <c r="E33" s="37"/>
      <c r="F33" s="48"/>
      <c r="G33" s="54"/>
      <c r="H33" s="55"/>
      <c r="I33" s="44"/>
      <c r="J33" s="19"/>
    </row>
    <row r="34" spans="1:10" ht="26.25" x14ac:dyDescent="0.25">
      <c r="A34" s="14" t="s">
        <v>102</v>
      </c>
      <c r="B34" s="7" t="s">
        <v>65</v>
      </c>
      <c r="C34" s="6"/>
      <c r="D34" s="26"/>
      <c r="E34" s="36"/>
      <c r="F34" s="47"/>
      <c r="G34" s="52"/>
      <c r="H34" s="53"/>
      <c r="I34" s="43"/>
      <c r="J34" s="8"/>
    </row>
    <row r="35" spans="1:10" s="11" customFormat="1" ht="90" x14ac:dyDescent="0.25">
      <c r="A35" s="16" t="s">
        <v>103</v>
      </c>
      <c r="B35" s="17" t="s">
        <v>66</v>
      </c>
      <c r="C35" s="18"/>
      <c r="D35" s="27"/>
      <c r="E35" s="37"/>
      <c r="F35" s="48"/>
      <c r="G35" s="54"/>
      <c r="H35" s="55"/>
      <c r="I35" s="44"/>
      <c r="J35" s="19"/>
    </row>
    <row r="36" spans="1:10" ht="90" x14ac:dyDescent="0.25">
      <c r="A36" s="14" t="s">
        <v>104</v>
      </c>
      <c r="B36" s="7" t="s">
        <v>67</v>
      </c>
      <c r="C36" s="6"/>
      <c r="D36" s="26"/>
      <c r="E36" s="36"/>
      <c r="F36" s="47"/>
      <c r="G36" s="52"/>
      <c r="H36" s="53"/>
      <c r="I36" s="43"/>
      <c r="J36" s="8"/>
    </row>
    <row r="37" spans="1:10" s="11" customFormat="1" ht="26.25" x14ac:dyDescent="0.25">
      <c r="A37" s="16" t="s">
        <v>105</v>
      </c>
      <c r="B37" s="17" t="s">
        <v>68</v>
      </c>
      <c r="C37" s="18"/>
      <c r="D37" s="27"/>
      <c r="E37" s="37"/>
      <c r="F37" s="48"/>
      <c r="G37" s="54"/>
      <c r="H37" s="55"/>
      <c r="I37" s="44"/>
      <c r="J37" s="19"/>
    </row>
    <row r="38" spans="1:10" ht="90" x14ac:dyDescent="0.25">
      <c r="A38" s="14" t="s">
        <v>106</v>
      </c>
      <c r="B38" s="7" t="s">
        <v>69</v>
      </c>
      <c r="C38" s="6"/>
      <c r="D38" s="26"/>
      <c r="E38" s="36"/>
      <c r="F38" s="47"/>
      <c r="G38" s="52"/>
      <c r="H38" s="53"/>
      <c r="I38" s="43"/>
      <c r="J38" s="8"/>
    </row>
    <row r="39" spans="1:10" s="11" customFormat="1" ht="64.5" x14ac:dyDescent="0.25">
      <c r="A39" s="20" t="s">
        <v>107</v>
      </c>
      <c r="B39" s="17" t="s">
        <v>70</v>
      </c>
      <c r="C39" s="18"/>
      <c r="D39" s="27"/>
      <c r="E39" s="37"/>
      <c r="F39" s="48"/>
      <c r="G39" s="54"/>
      <c r="H39" s="55"/>
      <c r="I39" s="44"/>
      <c r="J39" s="19"/>
    </row>
    <row r="40" spans="1:10" ht="26.25" x14ac:dyDescent="0.25">
      <c r="A40" s="14" t="s">
        <v>108</v>
      </c>
      <c r="B40" s="7" t="s">
        <v>71</v>
      </c>
      <c r="C40" s="6"/>
      <c r="D40" s="26"/>
      <c r="E40" s="36"/>
      <c r="F40" s="47"/>
      <c r="G40" s="52"/>
      <c r="H40" s="53"/>
      <c r="I40" s="43"/>
      <c r="J40" s="8"/>
    </row>
    <row r="41" spans="1:10" s="11" customFormat="1" ht="39.75" thickBot="1" x14ac:dyDescent="0.3">
      <c r="A41" s="21" t="s">
        <v>109</v>
      </c>
      <c r="B41" s="22" t="s">
        <v>72</v>
      </c>
      <c r="C41" s="23"/>
      <c r="D41" s="28"/>
      <c r="E41" s="38"/>
      <c r="F41" s="49"/>
      <c r="G41" s="56"/>
      <c r="H41" s="57"/>
      <c r="I41" s="45"/>
      <c r="J41" s="24"/>
    </row>
  </sheetData>
  <mergeCells count="3">
    <mergeCell ref="E2:J2"/>
    <mergeCell ref="A2:D2"/>
    <mergeCell ref="A4:J4"/>
  </mergeCells>
  <pageMargins left="0.70866141732283472" right="0.70866141732283472" top="0.74803149606299213" bottom="0.74803149606299213" header="0.31496062992125984" footer="0.31496062992125984"/>
  <pageSetup paperSize="9" scale="56" fitToHeight="2" orientation="landscape" r:id="rId1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2"/>
  <sheetViews>
    <sheetView tabSelected="1" topLeftCell="B1" zoomScale="70" zoomScaleNormal="70" workbookViewId="0">
      <selection activeCell="J40" sqref="J40"/>
    </sheetView>
  </sheetViews>
  <sheetFormatPr defaultRowHeight="12.75" x14ac:dyDescent="0.2"/>
  <cols>
    <col min="2" max="2" width="8.42578125" style="69" customWidth="1"/>
    <col min="3" max="3" width="92" style="69" customWidth="1"/>
    <col min="4" max="4" width="13.28515625" style="69" customWidth="1"/>
    <col min="5" max="5" width="15.85546875" style="69" customWidth="1"/>
    <col min="6" max="6" width="29.7109375" style="69" customWidth="1"/>
    <col min="7" max="7" width="29.7109375" style="70" customWidth="1"/>
    <col min="8" max="8" width="34" customWidth="1"/>
  </cols>
  <sheetData>
    <row r="1" spans="2:7" x14ac:dyDescent="0.2">
      <c r="D1" s="284"/>
      <c r="E1" s="284"/>
      <c r="F1" s="284"/>
    </row>
    <row r="2" spans="2:7" ht="31.5" customHeight="1" x14ac:dyDescent="0.2">
      <c r="E2" s="285" t="s">
        <v>209</v>
      </c>
      <c r="F2" s="285"/>
      <c r="G2" s="285"/>
    </row>
    <row r="3" spans="2:7" x14ac:dyDescent="0.2">
      <c r="B3" s="71"/>
      <c r="E3" s="286"/>
      <c r="F3" s="286"/>
      <c r="G3" s="286"/>
    </row>
    <row r="4" spans="2:7" x14ac:dyDescent="0.2">
      <c r="B4" s="72"/>
      <c r="E4" s="287"/>
      <c r="F4" s="287"/>
      <c r="G4" s="287"/>
    </row>
    <row r="5" spans="2:7" x14ac:dyDescent="0.2">
      <c r="B5" s="72"/>
      <c r="E5" s="287"/>
      <c r="F5" s="287"/>
      <c r="G5" s="287"/>
    </row>
    <row r="6" spans="2:7" x14ac:dyDescent="0.2">
      <c r="B6" s="288" t="s">
        <v>126</v>
      </c>
      <c r="C6" s="288"/>
      <c r="D6" s="288"/>
      <c r="E6" s="288"/>
      <c r="F6" s="288"/>
      <c r="G6" s="288"/>
    </row>
    <row r="7" spans="2:7" ht="27" customHeight="1" x14ac:dyDescent="0.2">
      <c r="C7" s="292" t="s">
        <v>225</v>
      </c>
      <c r="D7" s="292"/>
      <c r="E7" s="292"/>
      <c r="F7" s="292"/>
      <c r="G7" s="292"/>
    </row>
    <row r="8" spans="2:7" ht="22.5" customHeight="1" x14ac:dyDescent="0.2">
      <c r="B8" s="289"/>
      <c r="C8" s="289"/>
      <c r="D8" s="289"/>
      <c r="E8" s="289"/>
      <c r="F8" s="289"/>
      <c r="G8" s="289"/>
    </row>
    <row r="9" spans="2:7" ht="17.25" customHeight="1" x14ac:dyDescent="0.2">
      <c r="B9" s="290" t="s">
        <v>127</v>
      </c>
      <c r="C9" s="290"/>
      <c r="D9" s="290"/>
      <c r="E9" s="290"/>
      <c r="F9" s="290"/>
      <c r="G9" s="290"/>
    </row>
    <row r="10" spans="2:7" x14ac:dyDescent="0.2">
      <c r="B10" s="290" t="s">
        <v>128</v>
      </c>
      <c r="C10" s="290"/>
      <c r="D10" s="290"/>
      <c r="E10" s="290"/>
      <c r="F10" s="290"/>
      <c r="G10" s="290"/>
    </row>
    <row r="11" spans="2:7" x14ac:dyDescent="0.2">
      <c r="B11" s="291" t="s">
        <v>129</v>
      </c>
      <c r="C11" s="291"/>
      <c r="D11" s="291"/>
      <c r="E11" s="291"/>
      <c r="F11" s="291"/>
      <c r="G11" s="291"/>
    </row>
    <row r="12" spans="2:7" x14ac:dyDescent="0.2">
      <c r="B12" s="283" t="s">
        <v>130</v>
      </c>
      <c r="C12" s="283"/>
      <c r="D12" s="283"/>
      <c r="E12" s="283"/>
      <c r="F12" s="283"/>
      <c r="G12" s="283"/>
    </row>
    <row r="13" spans="2:7" x14ac:dyDescent="0.2">
      <c r="B13" s="73"/>
      <c r="C13" s="74"/>
      <c r="D13" s="74"/>
      <c r="E13" s="74"/>
      <c r="F13" s="74"/>
    </row>
    <row r="14" spans="2:7" x14ac:dyDescent="0.2">
      <c r="B14" s="277" t="s">
        <v>131</v>
      </c>
      <c r="C14" s="277"/>
      <c r="D14" s="277"/>
      <c r="E14" s="277"/>
      <c r="F14" s="277"/>
      <c r="G14" s="277"/>
    </row>
    <row r="15" spans="2:7" x14ac:dyDescent="0.2">
      <c r="B15" s="75"/>
    </row>
    <row r="16" spans="2:7" x14ac:dyDescent="0.2">
      <c r="B16" s="278" t="s">
        <v>132</v>
      </c>
      <c r="C16" s="278"/>
      <c r="D16" s="278"/>
      <c r="E16" s="278"/>
      <c r="F16" s="278"/>
      <c r="G16" s="278"/>
    </row>
    <row r="17" spans="2:8" ht="23.25" customHeight="1" x14ac:dyDescent="0.2">
      <c r="B17" s="78" t="s">
        <v>217</v>
      </c>
      <c r="C17" s="89"/>
      <c r="D17" s="78"/>
      <c r="E17" s="78"/>
      <c r="F17" s="78"/>
      <c r="G17" s="78"/>
    </row>
    <row r="18" spans="2:8" x14ac:dyDescent="0.2">
      <c r="B18" s="75"/>
      <c r="D18" s="76"/>
      <c r="E18" s="76"/>
      <c r="F18" s="77"/>
    </row>
    <row r="19" spans="2:8" ht="39" customHeight="1" x14ac:dyDescent="0.2">
      <c r="B19" s="79" t="s">
        <v>37</v>
      </c>
      <c r="C19" s="80" t="s">
        <v>202</v>
      </c>
      <c r="D19" s="80" t="s">
        <v>133</v>
      </c>
      <c r="E19" s="80" t="s">
        <v>134</v>
      </c>
      <c r="F19" s="81" t="s">
        <v>210</v>
      </c>
      <c r="G19" s="81" t="s">
        <v>211</v>
      </c>
      <c r="H19" s="81" t="s">
        <v>213</v>
      </c>
    </row>
    <row r="20" spans="2:8" ht="15.75" x14ac:dyDescent="0.2">
      <c r="B20" s="279"/>
      <c r="C20" s="279"/>
      <c r="D20" s="279"/>
      <c r="E20" s="279"/>
      <c r="F20" s="279"/>
      <c r="G20" s="280"/>
      <c r="H20" s="143"/>
    </row>
    <row r="21" spans="2:8" ht="15.75" x14ac:dyDescent="0.2">
      <c r="B21" s="82">
        <v>1</v>
      </c>
      <c r="C21" s="144" t="s">
        <v>226</v>
      </c>
      <c r="D21" s="116" t="s">
        <v>218</v>
      </c>
      <c r="E21" s="150">
        <f>SUM(E22:E24)</f>
        <v>0</v>
      </c>
      <c r="F21" s="145"/>
      <c r="G21" s="151">
        <f>SUM(G22:G24)</f>
        <v>0</v>
      </c>
      <c r="H21" s="142"/>
    </row>
    <row r="22" spans="2:8" ht="18" customHeight="1" x14ac:dyDescent="0.2">
      <c r="B22" s="82" t="s">
        <v>75</v>
      </c>
      <c r="C22" s="100"/>
      <c r="D22" s="116" t="s">
        <v>218</v>
      </c>
      <c r="E22" s="140"/>
      <c r="F22" s="145"/>
      <c r="G22" s="146">
        <f t="shared" ref="G22:G32" si="0">F22*E22</f>
        <v>0</v>
      </c>
      <c r="H22" s="142"/>
    </row>
    <row r="23" spans="2:8" ht="18" customHeight="1" x14ac:dyDescent="0.2">
      <c r="B23" s="82" t="s">
        <v>76</v>
      </c>
      <c r="C23" s="100"/>
      <c r="D23" s="116" t="s">
        <v>218</v>
      </c>
      <c r="E23" s="140"/>
      <c r="F23" s="145"/>
      <c r="G23" s="146">
        <f t="shared" si="0"/>
        <v>0</v>
      </c>
      <c r="H23" s="142"/>
    </row>
    <row r="24" spans="2:8" ht="18" customHeight="1" x14ac:dyDescent="0.2">
      <c r="B24" s="82" t="s">
        <v>77</v>
      </c>
      <c r="C24" s="100"/>
      <c r="D24" s="116" t="s">
        <v>218</v>
      </c>
      <c r="E24" s="140"/>
      <c r="F24" s="145"/>
      <c r="G24" s="146">
        <f t="shared" si="0"/>
        <v>0</v>
      </c>
      <c r="H24" s="142"/>
    </row>
    <row r="25" spans="2:8" ht="15.75" x14ac:dyDescent="0.2">
      <c r="B25" s="82">
        <v>2</v>
      </c>
      <c r="C25" s="144" t="s">
        <v>230</v>
      </c>
      <c r="D25" s="116" t="s">
        <v>218</v>
      </c>
      <c r="E25" s="150">
        <f>SUM(E26:E28)</f>
        <v>0</v>
      </c>
      <c r="F25" s="145"/>
      <c r="G25" s="151">
        <f>SUM(G26:G28)</f>
        <v>0</v>
      </c>
      <c r="H25" s="142"/>
    </row>
    <row r="26" spans="2:8" ht="18" customHeight="1" x14ac:dyDescent="0.2">
      <c r="B26" s="82" t="s">
        <v>93</v>
      </c>
      <c r="C26" s="100"/>
      <c r="D26" s="116" t="s">
        <v>218</v>
      </c>
      <c r="E26" s="140"/>
      <c r="F26" s="145"/>
      <c r="G26" s="146">
        <f t="shared" si="0"/>
        <v>0</v>
      </c>
      <c r="H26" s="142"/>
    </row>
    <row r="27" spans="2:8" ht="18" customHeight="1" x14ac:dyDescent="0.2">
      <c r="B27" s="82" t="s">
        <v>94</v>
      </c>
      <c r="C27" s="100"/>
      <c r="D27" s="116" t="s">
        <v>218</v>
      </c>
      <c r="E27" s="140"/>
      <c r="F27" s="145"/>
      <c r="G27" s="146">
        <f t="shared" si="0"/>
        <v>0</v>
      </c>
      <c r="H27" s="142"/>
    </row>
    <row r="28" spans="2:8" ht="18" customHeight="1" x14ac:dyDescent="0.2">
      <c r="B28" s="82" t="s">
        <v>95</v>
      </c>
      <c r="C28" s="100"/>
      <c r="D28" s="116" t="s">
        <v>218</v>
      </c>
      <c r="E28" s="140"/>
      <c r="F28" s="145"/>
      <c r="G28" s="146">
        <f t="shared" si="0"/>
        <v>0</v>
      </c>
      <c r="H28" s="142"/>
    </row>
    <row r="29" spans="2:8" ht="15.75" x14ac:dyDescent="0.2">
      <c r="B29" s="82">
        <v>3</v>
      </c>
      <c r="C29" s="144" t="s">
        <v>231</v>
      </c>
      <c r="D29" s="116" t="s">
        <v>218</v>
      </c>
      <c r="E29" s="150">
        <f>SUM(E30:E32)</f>
        <v>0</v>
      </c>
      <c r="F29" s="145"/>
      <c r="G29" s="151">
        <f>SUM(G30:G32)</f>
        <v>0</v>
      </c>
      <c r="H29" s="142"/>
    </row>
    <row r="30" spans="2:8" ht="18" customHeight="1" x14ac:dyDescent="0.2">
      <c r="B30" s="82" t="s">
        <v>214</v>
      </c>
      <c r="C30" s="100"/>
      <c r="D30" s="116" t="s">
        <v>218</v>
      </c>
      <c r="E30" s="140"/>
      <c r="F30" s="145"/>
      <c r="G30" s="146">
        <f t="shared" si="0"/>
        <v>0</v>
      </c>
      <c r="H30" s="142"/>
    </row>
    <row r="31" spans="2:8" ht="18" customHeight="1" x14ac:dyDescent="0.2">
      <c r="B31" s="82" t="s">
        <v>215</v>
      </c>
      <c r="C31" s="100"/>
      <c r="D31" s="116" t="s">
        <v>218</v>
      </c>
      <c r="E31" s="140"/>
      <c r="F31" s="145"/>
      <c r="G31" s="146">
        <f t="shared" si="0"/>
        <v>0</v>
      </c>
      <c r="H31" s="142"/>
    </row>
    <row r="32" spans="2:8" ht="18" customHeight="1" x14ac:dyDescent="0.2">
      <c r="B32" s="82" t="s">
        <v>216</v>
      </c>
      <c r="C32" s="100"/>
      <c r="D32" s="116" t="s">
        <v>218</v>
      </c>
      <c r="E32" s="140"/>
      <c r="F32" s="145"/>
      <c r="G32" s="146">
        <f t="shared" si="0"/>
        <v>0</v>
      </c>
      <c r="H32" s="142"/>
    </row>
    <row r="33" spans="2:8" ht="15.75" x14ac:dyDescent="0.2">
      <c r="B33" s="82">
        <v>4</v>
      </c>
      <c r="C33" s="144" t="s">
        <v>232</v>
      </c>
      <c r="D33" s="116" t="s">
        <v>218</v>
      </c>
      <c r="E33" s="150">
        <f>SUM(E34:E36)</f>
        <v>0</v>
      </c>
      <c r="F33" s="145"/>
      <c r="G33" s="151">
        <f>SUM(G34:G36)</f>
        <v>0</v>
      </c>
      <c r="H33" s="142"/>
    </row>
    <row r="34" spans="2:8" ht="18" customHeight="1" x14ac:dyDescent="0.2">
      <c r="B34" s="82" t="s">
        <v>227</v>
      </c>
      <c r="C34" s="100"/>
      <c r="D34" s="116" t="s">
        <v>218</v>
      </c>
      <c r="E34" s="140"/>
      <c r="F34" s="145"/>
      <c r="G34" s="146">
        <f t="shared" ref="G34:G36" si="1">F34*E34</f>
        <v>0</v>
      </c>
      <c r="H34" s="142"/>
    </row>
    <row r="35" spans="2:8" ht="18" customHeight="1" x14ac:dyDescent="0.2">
      <c r="B35" s="82" t="s">
        <v>228</v>
      </c>
      <c r="C35" s="100"/>
      <c r="D35" s="116" t="s">
        <v>218</v>
      </c>
      <c r="E35" s="140"/>
      <c r="F35" s="145"/>
      <c r="G35" s="146">
        <f t="shared" si="1"/>
        <v>0</v>
      </c>
      <c r="H35" s="142"/>
    </row>
    <row r="36" spans="2:8" ht="18" customHeight="1" x14ac:dyDescent="0.2">
      <c r="B36" s="82" t="s">
        <v>229</v>
      </c>
      <c r="C36" s="100"/>
      <c r="D36" s="116" t="s">
        <v>218</v>
      </c>
      <c r="E36" s="140"/>
      <c r="F36" s="145"/>
      <c r="G36" s="146">
        <f t="shared" si="1"/>
        <v>0</v>
      </c>
      <c r="H36" s="142"/>
    </row>
    <row r="37" spans="2:8" ht="15.75" x14ac:dyDescent="0.2">
      <c r="B37" s="82">
        <v>5</v>
      </c>
      <c r="C37" s="144" t="s">
        <v>233</v>
      </c>
      <c r="D37" s="116" t="s">
        <v>218</v>
      </c>
      <c r="E37" s="150">
        <f>SUM(E38:E40)</f>
        <v>0</v>
      </c>
      <c r="F37" s="145"/>
      <c r="G37" s="151">
        <f>SUM(G38:G40)</f>
        <v>0</v>
      </c>
      <c r="H37" s="142"/>
    </row>
    <row r="38" spans="2:8" ht="18" customHeight="1" x14ac:dyDescent="0.2">
      <c r="B38" s="82" t="s">
        <v>234</v>
      </c>
      <c r="C38" s="100"/>
      <c r="D38" s="116" t="s">
        <v>218</v>
      </c>
      <c r="E38" s="140"/>
      <c r="F38" s="145"/>
      <c r="G38" s="146">
        <f t="shared" ref="G38:G40" si="2">F38*E38</f>
        <v>0</v>
      </c>
      <c r="H38" s="142"/>
    </row>
    <row r="39" spans="2:8" ht="18" customHeight="1" x14ac:dyDescent="0.2">
      <c r="B39" s="82" t="s">
        <v>235</v>
      </c>
      <c r="C39" s="100"/>
      <c r="D39" s="116" t="s">
        <v>218</v>
      </c>
      <c r="E39" s="140"/>
      <c r="F39" s="145"/>
      <c r="G39" s="146">
        <f t="shared" si="2"/>
        <v>0</v>
      </c>
      <c r="H39" s="142"/>
    </row>
    <row r="40" spans="2:8" ht="18" customHeight="1" x14ac:dyDescent="0.2">
      <c r="B40" s="82" t="s">
        <v>237</v>
      </c>
      <c r="C40" s="100"/>
      <c r="D40" s="116" t="s">
        <v>218</v>
      </c>
      <c r="E40" s="140"/>
      <c r="F40" s="145"/>
      <c r="G40" s="146">
        <f t="shared" si="2"/>
        <v>0</v>
      </c>
      <c r="H40" s="142"/>
    </row>
    <row r="41" spans="2:8" ht="15.75" x14ac:dyDescent="0.2">
      <c r="B41" s="82">
        <v>6</v>
      </c>
      <c r="C41" s="144" t="s">
        <v>246</v>
      </c>
      <c r="D41" s="116" t="s">
        <v>218</v>
      </c>
      <c r="E41" s="150">
        <f>SUM(E42:E44)</f>
        <v>0</v>
      </c>
      <c r="F41" s="145"/>
      <c r="G41" s="151">
        <f>SUM(G42:G44)</f>
        <v>0</v>
      </c>
      <c r="H41" s="142"/>
    </row>
    <row r="42" spans="2:8" ht="18" customHeight="1" x14ac:dyDescent="0.2">
      <c r="B42" s="82" t="s">
        <v>238</v>
      </c>
      <c r="C42" s="100"/>
      <c r="D42" s="116" t="s">
        <v>218</v>
      </c>
      <c r="E42" s="140"/>
      <c r="F42" s="145"/>
      <c r="G42" s="146">
        <f t="shared" ref="G42:G44" si="3">F42*E42</f>
        <v>0</v>
      </c>
      <c r="H42" s="142"/>
    </row>
    <row r="43" spans="2:8" ht="18" customHeight="1" x14ac:dyDescent="0.2">
      <c r="B43" s="82" t="s">
        <v>239</v>
      </c>
      <c r="C43" s="100"/>
      <c r="D43" s="116" t="s">
        <v>218</v>
      </c>
      <c r="E43" s="140"/>
      <c r="F43" s="145"/>
      <c r="G43" s="146">
        <f t="shared" si="3"/>
        <v>0</v>
      </c>
      <c r="H43" s="142"/>
    </row>
    <row r="44" spans="2:8" ht="18" customHeight="1" x14ac:dyDescent="0.2">
      <c r="B44" s="82" t="s">
        <v>236</v>
      </c>
      <c r="C44" s="100"/>
      <c r="D44" s="116" t="s">
        <v>218</v>
      </c>
      <c r="E44" s="140"/>
      <c r="F44" s="145"/>
      <c r="G44" s="146">
        <f t="shared" si="3"/>
        <v>0</v>
      </c>
      <c r="H44" s="142"/>
    </row>
    <row r="45" spans="2:8" ht="15.75" x14ac:dyDescent="0.2">
      <c r="B45" s="82">
        <v>7</v>
      </c>
      <c r="C45" s="144" t="s">
        <v>247</v>
      </c>
      <c r="D45" s="116" t="s">
        <v>218</v>
      </c>
      <c r="E45" s="150">
        <f>SUM(E46:E48)</f>
        <v>0</v>
      </c>
      <c r="F45" s="145"/>
      <c r="G45" s="151">
        <f>SUM(G46:G48)</f>
        <v>0</v>
      </c>
      <c r="H45" s="142"/>
    </row>
    <row r="46" spans="2:8" ht="18" customHeight="1" x14ac:dyDescent="0.2">
      <c r="B46" s="82" t="s">
        <v>240</v>
      </c>
      <c r="C46" s="100"/>
      <c r="D46" s="116" t="s">
        <v>218</v>
      </c>
      <c r="E46" s="140"/>
      <c r="F46" s="145"/>
      <c r="G46" s="146">
        <f t="shared" ref="G46:G48" si="4">F46*E46</f>
        <v>0</v>
      </c>
      <c r="H46" s="142"/>
    </row>
    <row r="47" spans="2:8" ht="18" customHeight="1" x14ac:dyDescent="0.2">
      <c r="B47" s="82" t="s">
        <v>241</v>
      </c>
      <c r="C47" s="100"/>
      <c r="D47" s="116" t="s">
        <v>218</v>
      </c>
      <c r="E47" s="140"/>
      <c r="F47" s="145"/>
      <c r="G47" s="146">
        <f t="shared" si="4"/>
        <v>0</v>
      </c>
      <c r="H47" s="142"/>
    </row>
    <row r="48" spans="2:8" ht="18" customHeight="1" x14ac:dyDescent="0.2">
      <c r="B48" s="82" t="s">
        <v>242</v>
      </c>
      <c r="C48" s="100"/>
      <c r="D48" s="116" t="s">
        <v>218</v>
      </c>
      <c r="E48" s="140"/>
      <c r="F48" s="145"/>
      <c r="G48" s="146">
        <f t="shared" si="4"/>
        <v>0</v>
      </c>
      <c r="H48" s="142"/>
    </row>
    <row r="49" spans="2:8" ht="15.75" x14ac:dyDescent="0.2">
      <c r="B49" s="82">
        <v>8</v>
      </c>
      <c r="C49" s="144" t="s">
        <v>248</v>
      </c>
      <c r="D49" s="116" t="s">
        <v>218</v>
      </c>
      <c r="E49" s="150">
        <f>SUM(E50:E52)</f>
        <v>0</v>
      </c>
      <c r="F49" s="145"/>
      <c r="G49" s="151">
        <f>SUM(G50:G52)</f>
        <v>0</v>
      </c>
      <c r="H49" s="142"/>
    </row>
    <row r="50" spans="2:8" ht="18" customHeight="1" x14ac:dyDescent="0.2">
      <c r="B50" s="82" t="s">
        <v>243</v>
      </c>
      <c r="C50" s="100"/>
      <c r="D50" s="116" t="s">
        <v>218</v>
      </c>
      <c r="E50" s="140"/>
      <c r="F50" s="145"/>
      <c r="G50" s="146">
        <f t="shared" ref="G50:G52" si="5">F50*E50</f>
        <v>0</v>
      </c>
      <c r="H50" s="142"/>
    </row>
    <row r="51" spans="2:8" ht="18" customHeight="1" x14ac:dyDescent="0.2">
      <c r="B51" s="82" t="s">
        <v>244</v>
      </c>
      <c r="C51" s="100"/>
      <c r="D51" s="116" t="s">
        <v>218</v>
      </c>
      <c r="E51" s="140"/>
      <c r="F51" s="145"/>
      <c r="G51" s="146">
        <f t="shared" si="5"/>
        <v>0</v>
      </c>
      <c r="H51" s="142"/>
    </row>
    <row r="52" spans="2:8" ht="18" customHeight="1" x14ac:dyDescent="0.2">
      <c r="B52" s="82" t="s">
        <v>245</v>
      </c>
      <c r="C52" s="100"/>
      <c r="D52" s="116" t="s">
        <v>218</v>
      </c>
      <c r="E52" s="140"/>
      <c r="F52" s="145"/>
      <c r="G52" s="146">
        <f t="shared" si="5"/>
        <v>0</v>
      </c>
      <c r="H52" s="142"/>
    </row>
    <row r="53" spans="2:8" ht="15.75" x14ac:dyDescent="0.2">
      <c r="B53" s="136"/>
      <c r="C53" s="147" t="s">
        <v>176</v>
      </c>
      <c r="D53" s="148"/>
      <c r="E53" s="140">
        <f>E33+E37+E41+E45+E49+E29+E25+E21</f>
        <v>0</v>
      </c>
      <c r="F53" s="149"/>
      <c r="G53" s="152">
        <f>+G33+G37+G41+G45+G49+G29+G25+G21</f>
        <v>0</v>
      </c>
    </row>
    <row r="54" spans="2:8" ht="45" hidden="1" customHeight="1" x14ac:dyDescent="0.2">
      <c r="B54" s="99">
        <v>2</v>
      </c>
      <c r="C54" s="132" t="s">
        <v>203</v>
      </c>
      <c r="D54" s="133" t="s">
        <v>170</v>
      </c>
      <c r="E54" s="134">
        <v>10</v>
      </c>
      <c r="F54" s="135">
        <f>F55+F56+F57+F58+F59+F60+F61</f>
        <v>7</v>
      </c>
      <c r="G54" s="98">
        <f>G55+G56+G57+G58+G59+G60+G61</f>
        <v>25</v>
      </c>
    </row>
    <row r="55" spans="2:8" ht="32.25" hidden="1" customHeight="1" x14ac:dyDescent="0.2">
      <c r="B55" s="90" t="s">
        <v>145</v>
      </c>
      <c r="C55" s="91" t="s">
        <v>181</v>
      </c>
      <c r="D55" s="117" t="s">
        <v>170</v>
      </c>
      <c r="E55" s="118">
        <v>1</v>
      </c>
      <c r="F55" s="94">
        <v>1</v>
      </c>
      <c r="G55" s="95">
        <f>F55*E55</f>
        <v>1</v>
      </c>
    </row>
    <row r="56" spans="2:8" ht="26.25" hidden="1" customHeight="1" x14ac:dyDescent="0.2">
      <c r="B56" s="90" t="s">
        <v>146</v>
      </c>
      <c r="C56" s="91" t="s">
        <v>185</v>
      </c>
      <c r="D56" s="117" t="s">
        <v>170</v>
      </c>
      <c r="E56" s="118">
        <v>1</v>
      </c>
      <c r="F56" s="94">
        <v>1</v>
      </c>
      <c r="G56" s="95">
        <f t="shared" ref="G56:G61" si="6">F56*E56</f>
        <v>1</v>
      </c>
    </row>
    <row r="57" spans="2:8" ht="28.5" hidden="1" customHeight="1" x14ac:dyDescent="0.2">
      <c r="B57" s="90" t="s">
        <v>147</v>
      </c>
      <c r="C57" s="91" t="s">
        <v>173</v>
      </c>
      <c r="D57" s="92" t="s">
        <v>208</v>
      </c>
      <c r="E57" s="130">
        <v>10</v>
      </c>
      <c r="F57" s="94">
        <v>1</v>
      </c>
      <c r="G57" s="95">
        <f t="shared" si="6"/>
        <v>10</v>
      </c>
    </row>
    <row r="58" spans="2:8" ht="28.5" hidden="1" customHeight="1" x14ac:dyDescent="0.2">
      <c r="B58" s="90" t="s">
        <v>152</v>
      </c>
      <c r="C58" s="91" t="s">
        <v>174</v>
      </c>
      <c r="D58" s="92" t="s">
        <v>208</v>
      </c>
      <c r="E58" s="130">
        <v>10</v>
      </c>
      <c r="F58" s="94">
        <v>1</v>
      </c>
      <c r="G58" s="95">
        <f t="shared" si="6"/>
        <v>10</v>
      </c>
    </row>
    <row r="59" spans="2:8" ht="28.5" hidden="1" customHeight="1" x14ac:dyDescent="0.2">
      <c r="B59" s="90" t="s">
        <v>153</v>
      </c>
      <c r="C59" s="91" t="s">
        <v>169</v>
      </c>
      <c r="D59" s="92" t="s">
        <v>171</v>
      </c>
      <c r="E59" s="119">
        <v>1</v>
      </c>
      <c r="F59" s="94">
        <v>1</v>
      </c>
      <c r="G59" s="95">
        <f t="shared" si="6"/>
        <v>1</v>
      </c>
    </row>
    <row r="60" spans="2:8" ht="28.5" hidden="1" customHeight="1" x14ac:dyDescent="0.2">
      <c r="B60" s="90" t="s">
        <v>177</v>
      </c>
      <c r="C60" s="91" t="s">
        <v>172</v>
      </c>
      <c r="D60" s="92" t="s">
        <v>171</v>
      </c>
      <c r="E60" s="93">
        <v>1</v>
      </c>
      <c r="F60" s="94">
        <v>1</v>
      </c>
      <c r="G60" s="95">
        <f t="shared" si="6"/>
        <v>1</v>
      </c>
    </row>
    <row r="61" spans="2:8" ht="28.5" hidden="1" customHeight="1" x14ac:dyDescent="0.2">
      <c r="B61" s="90" t="s">
        <v>186</v>
      </c>
      <c r="C61" s="91" t="s">
        <v>175</v>
      </c>
      <c r="D61" s="92" t="s">
        <v>170</v>
      </c>
      <c r="E61" s="93">
        <v>1</v>
      </c>
      <c r="F61" s="94">
        <v>1</v>
      </c>
      <c r="G61" s="95">
        <f t="shared" si="6"/>
        <v>1</v>
      </c>
    </row>
    <row r="62" spans="2:8" ht="28.5" hidden="1" customHeight="1" x14ac:dyDescent="0.2">
      <c r="B62" s="90"/>
      <c r="C62" s="100" t="s">
        <v>176</v>
      </c>
      <c r="D62" s="92"/>
      <c r="E62" s="93"/>
      <c r="F62" s="120"/>
      <c r="G62" s="126">
        <f>E54*G54</f>
        <v>250</v>
      </c>
    </row>
    <row r="63" spans="2:8" ht="28.5" hidden="1" customHeight="1" x14ac:dyDescent="0.2">
      <c r="B63" s="90" t="s">
        <v>187</v>
      </c>
      <c r="C63" s="91" t="s">
        <v>182</v>
      </c>
      <c r="D63" s="92" t="s">
        <v>208</v>
      </c>
      <c r="E63" s="130">
        <v>10</v>
      </c>
      <c r="F63" s="94">
        <v>1</v>
      </c>
      <c r="G63" s="95">
        <f>F63*$E$63</f>
        <v>10</v>
      </c>
    </row>
    <row r="64" spans="2:8" ht="28.5" hidden="1" customHeight="1" x14ac:dyDescent="0.2">
      <c r="B64" s="90" t="s">
        <v>188</v>
      </c>
      <c r="C64" s="91" t="s">
        <v>183</v>
      </c>
      <c r="D64" s="92" t="s">
        <v>208</v>
      </c>
      <c r="E64" s="130">
        <v>10</v>
      </c>
      <c r="F64" s="94">
        <v>1</v>
      </c>
      <c r="G64" s="95">
        <f t="shared" ref="G64:G65" si="7">F64*$E$63</f>
        <v>10</v>
      </c>
    </row>
    <row r="65" spans="2:7" ht="28.5" hidden="1" customHeight="1" x14ac:dyDescent="0.2">
      <c r="B65" s="90" t="s">
        <v>189</v>
      </c>
      <c r="C65" s="91" t="s">
        <v>184</v>
      </c>
      <c r="D65" s="92" t="s">
        <v>208</v>
      </c>
      <c r="E65" s="130">
        <v>10</v>
      </c>
      <c r="F65" s="94">
        <v>1</v>
      </c>
      <c r="G65" s="95">
        <f t="shared" si="7"/>
        <v>10</v>
      </c>
    </row>
    <row r="66" spans="2:7" ht="28.5" hidden="1" customHeight="1" x14ac:dyDescent="0.2">
      <c r="B66" s="99"/>
      <c r="C66" s="100" t="s">
        <v>207</v>
      </c>
      <c r="D66" s="105"/>
      <c r="E66" s="101"/>
      <c r="F66" s="88"/>
      <c r="G66" s="127">
        <f>(G55+G56+G59+G60+G61+G63+G64+G65)*E54</f>
        <v>350</v>
      </c>
    </row>
    <row r="67" spans="2:7" ht="36.75" hidden="1" customHeight="1" x14ac:dyDescent="0.2">
      <c r="B67" s="82">
        <v>3</v>
      </c>
      <c r="C67" s="129" t="s">
        <v>204</v>
      </c>
      <c r="D67" s="96" t="s">
        <v>170</v>
      </c>
      <c r="E67" s="131">
        <v>10</v>
      </c>
      <c r="F67" s="97">
        <f>F68+F69+F70+F71+F72+F73+F74</f>
        <v>7</v>
      </c>
      <c r="G67" s="98">
        <f>G68+G69+G70+G71+G72+G73+G74</f>
        <v>25</v>
      </c>
    </row>
    <row r="68" spans="2:7" ht="34.5" hidden="1" customHeight="1" x14ac:dyDescent="0.2">
      <c r="B68" s="90" t="s">
        <v>154</v>
      </c>
      <c r="C68" s="91" t="s">
        <v>181</v>
      </c>
      <c r="D68" s="117" t="s">
        <v>170</v>
      </c>
      <c r="E68" s="118">
        <v>1</v>
      </c>
      <c r="F68" s="94">
        <v>1</v>
      </c>
      <c r="G68" s="95">
        <f>F68*E68</f>
        <v>1</v>
      </c>
    </row>
    <row r="69" spans="2:7" ht="24" hidden="1" customHeight="1" x14ac:dyDescent="0.2">
      <c r="B69" s="90" t="s">
        <v>155</v>
      </c>
      <c r="C69" s="91" t="s">
        <v>185</v>
      </c>
      <c r="D69" s="117" t="s">
        <v>170</v>
      </c>
      <c r="E69" s="118">
        <v>1</v>
      </c>
      <c r="F69" s="94">
        <v>1</v>
      </c>
      <c r="G69" s="95">
        <f t="shared" ref="G69:G74" si="8">F69*E69</f>
        <v>1</v>
      </c>
    </row>
    <row r="70" spans="2:7" ht="24" hidden="1" customHeight="1" x14ac:dyDescent="0.2">
      <c r="B70" s="90" t="s">
        <v>156</v>
      </c>
      <c r="C70" s="91" t="s">
        <v>173</v>
      </c>
      <c r="D70" s="92" t="s">
        <v>208</v>
      </c>
      <c r="E70" s="130">
        <v>10</v>
      </c>
      <c r="F70" s="94">
        <v>1</v>
      </c>
      <c r="G70" s="95">
        <f t="shared" si="8"/>
        <v>10</v>
      </c>
    </row>
    <row r="71" spans="2:7" ht="24" hidden="1" customHeight="1" x14ac:dyDescent="0.2">
      <c r="B71" s="90" t="s">
        <v>157</v>
      </c>
      <c r="C71" s="91" t="s">
        <v>174</v>
      </c>
      <c r="D71" s="92" t="s">
        <v>208</v>
      </c>
      <c r="E71" s="130">
        <v>10</v>
      </c>
      <c r="F71" s="94">
        <v>1</v>
      </c>
      <c r="G71" s="95">
        <f t="shared" si="8"/>
        <v>10</v>
      </c>
    </row>
    <row r="72" spans="2:7" ht="24" hidden="1" customHeight="1" x14ac:dyDescent="0.2">
      <c r="B72" s="90" t="s">
        <v>158</v>
      </c>
      <c r="C72" s="91" t="s">
        <v>169</v>
      </c>
      <c r="D72" s="92" t="s">
        <v>171</v>
      </c>
      <c r="E72" s="119">
        <v>1</v>
      </c>
      <c r="F72" s="94">
        <v>1</v>
      </c>
      <c r="G72" s="95">
        <f t="shared" si="8"/>
        <v>1</v>
      </c>
    </row>
    <row r="73" spans="2:7" ht="24" hidden="1" customHeight="1" x14ac:dyDescent="0.2">
      <c r="B73" s="90" t="s">
        <v>178</v>
      </c>
      <c r="C73" s="91" t="s">
        <v>172</v>
      </c>
      <c r="D73" s="92" t="s">
        <v>171</v>
      </c>
      <c r="E73" s="93">
        <v>1</v>
      </c>
      <c r="F73" s="94">
        <v>1</v>
      </c>
      <c r="G73" s="95">
        <f t="shared" si="8"/>
        <v>1</v>
      </c>
    </row>
    <row r="74" spans="2:7" ht="24" hidden="1" customHeight="1" x14ac:dyDescent="0.2">
      <c r="B74" s="90" t="s">
        <v>190</v>
      </c>
      <c r="C74" s="91" t="s">
        <v>175</v>
      </c>
      <c r="D74" s="92" t="s">
        <v>170</v>
      </c>
      <c r="E74" s="93">
        <v>1</v>
      </c>
      <c r="F74" s="94">
        <v>1</v>
      </c>
      <c r="G74" s="95">
        <f t="shared" si="8"/>
        <v>1</v>
      </c>
    </row>
    <row r="75" spans="2:7" ht="24" hidden="1" customHeight="1" x14ac:dyDescent="0.2">
      <c r="B75" s="90"/>
      <c r="C75" s="100" t="s">
        <v>176</v>
      </c>
      <c r="D75" s="92"/>
      <c r="E75" s="93"/>
      <c r="F75" s="120"/>
      <c r="G75" s="126">
        <f>G67*E67</f>
        <v>250</v>
      </c>
    </row>
    <row r="76" spans="2:7" ht="24" hidden="1" customHeight="1" x14ac:dyDescent="0.2">
      <c r="B76" s="90" t="s">
        <v>191</v>
      </c>
      <c r="C76" s="91" t="s">
        <v>182</v>
      </c>
      <c r="D76" s="92" t="s">
        <v>208</v>
      </c>
      <c r="E76" s="130">
        <v>10</v>
      </c>
      <c r="F76" s="94">
        <v>1</v>
      </c>
      <c r="G76" s="95">
        <f>F76*E76</f>
        <v>10</v>
      </c>
    </row>
    <row r="77" spans="2:7" ht="24" hidden="1" customHeight="1" x14ac:dyDescent="0.2">
      <c r="B77" s="90" t="s">
        <v>192</v>
      </c>
      <c r="C77" s="91" t="s">
        <v>183</v>
      </c>
      <c r="D77" s="92" t="s">
        <v>208</v>
      </c>
      <c r="E77" s="130">
        <v>10</v>
      </c>
      <c r="F77" s="94">
        <v>1</v>
      </c>
      <c r="G77" s="95">
        <f>F77*E77</f>
        <v>10</v>
      </c>
    </row>
    <row r="78" spans="2:7" ht="24" hidden="1" customHeight="1" x14ac:dyDescent="0.2">
      <c r="B78" s="90" t="s">
        <v>193</v>
      </c>
      <c r="C78" s="91" t="s">
        <v>184</v>
      </c>
      <c r="D78" s="92" t="s">
        <v>208</v>
      </c>
      <c r="E78" s="130">
        <v>10</v>
      </c>
      <c r="F78" s="94">
        <v>1</v>
      </c>
      <c r="G78" s="95">
        <f>F78*E78</f>
        <v>10</v>
      </c>
    </row>
    <row r="79" spans="2:7" ht="24" hidden="1" customHeight="1" x14ac:dyDescent="0.2">
      <c r="B79" s="82"/>
      <c r="C79" s="100" t="s">
        <v>207</v>
      </c>
      <c r="D79" s="104"/>
      <c r="E79" s="101"/>
      <c r="F79" s="88"/>
      <c r="G79" s="128">
        <f>(G68+G69+G72+G73+G74+G76+G77+G78)*E67</f>
        <v>350</v>
      </c>
    </row>
    <row r="80" spans="2:7" ht="36" hidden="1" customHeight="1" x14ac:dyDescent="0.2">
      <c r="B80" s="82">
        <v>4</v>
      </c>
      <c r="C80" s="129" t="s">
        <v>205</v>
      </c>
      <c r="D80" s="96" t="s">
        <v>170</v>
      </c>
      <c r="E80" s="131">
        <v>10</v>
      </c>
      <c r="F80" s="97">
        <f>F81+F82+F83+F84+F85+F86+F87</f>
        <v>7</v>
      </c>
      <c r="G80" s="98">
        <f>G81+G82+G83+G84+G85+G86+G87</f>
        <v>25</v>
      </c>
    </row>
    <row r="81" spans="2:7" ht="28.5" hidden="1" customHeight="1" x14ac:dyDescent="0.2">
      <c r="B81" s="90" t="s">
        <v>159</v>
      </c>
      <c r="C81" s="91" t="s">
        <v>181</v>
      </c>
      <c r="D81" s="117" t="s">
        <v>170</v>
      </c>
      <c r="E81" s="118">
        <v>1</v>
      </c>
      <c r="F81" s="94">
        <v>1</v>
      </c>
      <c r="G81" s="95">
        <f>F81*E81</f>
        <v>1</v>
      </c>
    </row>
    <row r="82" spans="2:7" ht="24" hidden="1" customHeight="1" x14ac:dyDescent="0.2">
      <c r="B82" s="90" t="s">
        <v>160</v>
      </c>
      <c r="C82" s="91" t="s">
        <v>185</v>
      </c>
      <c r="D82" s="117" t="s">
        <v>170</v>
      </c>
      <c r="E82" s="118">
        <v>1</v>
      </c>
      <c r="F82" s="94">
        <v>1</v>
      </c>
      <c r="G82" s="95">
        <f t="shared" ref="G82:G87" si="9">F82*E82</f>
        <v>1</v>
      </c>
    </row>
    <row r="83" spans="2:7" ht="24" hidden="1" customHeight="1" x14ac:dyDescent="0.2">
      <c r="B83" s="90" t="s">
        <v>161</v>
      </c>
      <c r="C83" s="91" t="s">
        <v>173</v>
      </c>
      <c r="D83" s="92" t="s">
        <v>208</v>
      </c>
      <c r="E83" s="130">
        <v>10</v>
      </c>
      <c r="F83" s="94">
        <v>1</v>
      </c>
      <c r="G83" s="95">
        <f t="shared" si="9"/>
        <v>10</v>
      </c>
    </row>
    <row r="84" spans="2:7" ht="24" hidden="1" customHeight="1" x14ac:dyDescent="0.2">
      <c r="B84" s="90" t="s">
        <v>162</v>
      </c>
      <c r="C84" s="91" t="s">
        <v>174</v>
      </c>
      <c r="D84" s="92" t="s">
        <v>208</v>
      </c>
      <c r="E84" s="130">
        <v>10</v>
      </c>
      <c r="F84" s="94">
        <v>1</v>
      </c>
      <c r="G84" s="95">
        <f t="shared" si="9"/>
        <v>10</v>
      </c>
    </row>
    <row r="85" spans="2:7" ht="24" hidden="1" customHeight="1" x14ac:dyDescent="0.2">
      <c r="B85" s="90" t="s">
        <v>163</v>
      </c>
      <c r="C85" s="91" t="s">
        <v>169</v>
      </c>
      <c r="D85" s="92" t="s">
        <v>171</v>
      </c>
      <c r="E85" s="119">
        <v>1</v>
      </c>
      <c r="F85" s="94">
        <v>1</v>
      </c>
      <c r="G85" s="95">
        <f t="shared" si="9"/>
        <v>1</v>
      </c>
    </row>
    <row r="86" spans="2:7" ht="24" hidden="1" customHeight="1" x14ac:dyDescent="0.2">
      <c r="B86" s="90" t="s">
        <v>179</v>
      </c>
      <c r="C86" s="91" t="s">
        <v>172</v>
      </c>
      <c r="D86" s="92" t="s">
        <v>171</v>
      </c>
      <c r="E86" s="93">
        <v>1</v>
      </c>
      <c r="F86" s="94">
        <v>1</v>
      </c>
      <c r="G86" s="95">
        <f t="shared" si="9"/>
        <v>1</v>
      </c>
    </row>
    <row r="87" spans="2:7" ht="24" hidden="1" customHeight="1" x14ac:dyDescent="0.2">
      <c r="B87" s="90" t="s">
        <v>194</v>
      </c>
      <c r="C87" s="91" t="s">
        <v>175</v>
      </c>
      <c r="D87" s="92" t="s">
        <v>170</v>
      </c>
      <c r="E87" s="93">
        <v>1</v>
      </c>
      <c r="F87" s="94">
        <v>1</v>
      </c>
      <c r="G87" s="95">
        <f t="shared" si="9"/>
        <v>1</v>
      </c>
    </row>
    <row r="88" spans="2:7" ht="24" hidden="1" customHeight="1" x14ac:dyDescent="0.2">
      <c r="B88" s="90"/>
      <c r="C88" s="100" t="s">
        <v>176</v>
      </c>
      <c r="D88" s="92"/>
      <c r="E88" s="93"/>
      <c r="F88" s="120"/>
      <c r="G88" s="126">
        <f>E80*G80</f>
        <v>250</v>
      </c>
    </row>
    <row r="89" spans="2:7" ht="24" hidden="1" customHeight="1" x14ac:dyDescent="0.2">
      <c r="B89" s="90" t="s">
        <v>195</v>
      </c>
      <c r="C89" s="91" t="s">
        <v>182</v>
      </c>
      <c r="D89" s="92" t="s">
        <v>208</v>
      </c>
      <c r="E89" s="130">
        <v>10</v>
      </c>
      <c r="F89" s="94">
        <v>1</v>
      </c>
      <c r="G89" s="95">
        <f>F89*E89</f>
        <v>10</v>
      </c>
    </row>
    <row r="90" spans="2:7" ht="24" hidden="1" customHeight="1" x14ac:dyDescent="0.2">
      <c r="B90" s="90" t="s">
        <v>196</v>
      </c>
      <c r="C90" s="91" t="s">
        <v>183</v>
      </c>
      <c r="D90" s="92" t="s">
        <v>208</v>
      </c>
      <c r="E90" s="130">
        <v>10</v>
      </c>
      <c r="F90" s="94">
        <v>1</v>
      </c>
      <c r="G90" s="95">
        <f>F90*E90</f>
        <v>10</v>
      </c>
    </row>
    <row r="91" spans="2:7" ht="24" hidden="1" customHeight="1" x14ac:dyDescent="0.2">
      <c r="B91" s="90" t="s">
        <v>197</v>
      </c>
      <c r="C91" s="91" t="s">
        <v>184</v>
      </c>
      <c r="D91" s="92" t="s">
        <v>208</v>
      </c>
      <c r="E91" s="130">
        <v>10</v>
      </c>
      <c r="F91" s="94">
        <v>1</v>
      </c>
      <c r="G91" s="95">
        <f>F91*E91</f>
        <v>10</v>
      </c>
    </row>
    <row r="92" spans="2:7" ht="24" hidden="1" customHeight="1" x14ac:dyDescent="0.2">
      <c r="B92" s="82"/>
      <c r="C92" s="100" t="s">
        <v>176</v>
      </c>
      <c r="D92" s="104"/>
      <c r="E92" s="101"/>
      <c r="F92" s="88"/>
      <c r="G92" s="128">
        <f>(G81+G82+G85+G86+G87+G89+G90+G91)*E80</f>
        <v>350</v>
      </c>
    </row>
    <row r="93" spans="2:7" ht="44.25" hidden="1" customHeight="1" x14ac:dyDescent="0.2">
      <c r="B93" s="82">
        <v>5</v>
      </c>
      <c r="C93" s="129" t="s">
        <v>206</v>
      </c>
      <c r="D93" s="96" t="s">
        <v>170</v>
      </c>
      <c r="E93" s="131">
        <v>10</v>
      </c>
      <c r="F93" s="97">
        <f>F94+F95+F96+F97+F98+F99+F100</f>
        <v>7</v>
      </c>
      <c r="G93" s="98">
        <f>G94+G95+G96+G97+G98+G99+G100</f>
        <v>25</v>
      </c>
    </row>
    <row r="94" spans="2:7" ht="30" hidden="1" customHeight="1" x14ac:dyDescent="0.2">
      <c r="B94" s="90" t="s">
        <v>164</v>
      </c>
      <c r="C94" s="91" t="s">
        <v>181</v>
      </c>
      <c r="D94" s="117" t="s">
        <v>170</v>
      </c>
      <c r="E94" s="118">
        <v>1</v>
      </c>
      <c r="F94" s="94">
        <v>1</v>
      </c>
      <c r="G94" s="95">
        <f>F94*E94</f>
        <v>1</v>
      </c>
    </row>
    <row r="95" spans="2:7" ht="24" hidden="1" customHeight="1" x14ac:dyDescent="0.2">
      <c r="B95" s="90" t="s">
        <v>165</v>
      </c>
      <c r="C95" s="91" t="s">
        <v>185</v>
      </c>
      <c r="D95" s="117" t="s">
        <v>170</v>
      </c>
      <c r="E95" s="118">
        <v>1</v>
      </c>
      <c r="F95" s="94">
        <v>1</v>
      </c>
      <c r="G95" s="95">
        <f>F95*E95</f>
        <v>1</v>
      </c>
    </row>
    <row r="96" spans="2:7" ht="24" hidden="1" customHeight="1" x14ac:dyDescent="0.2">
      <c r="B96" s="90" t="s">
        <v>166</v>
      </c>
      <c r="C96" s="91" t="s">
        <v>173</v>
      </c>
      <c r="D96" s="92" t="s">
        <v>208</v>
      </c>
      <c r="E96" s="130">
        <v>10</v>
      </c>
      <c r="F96" s="94">
        <v>1</v>
      </c>
      <c r="G96" s="95">
        <f t="shared" ref="G96:G100" si="10">F96*E96</f>
        <v>10</v>
      </c>
    </row>
    <row r="97" spans="2:7" ht="24" hidden="1" customHeight="1" x14ac:dyDescent="0.2">
      <c r="B97" s="90" t="s">
        <v>167</v>
      </c>
      <c r="C97" s="91" t="s">
        <v>174</v>
      </c>
      <c r="D97" s="92" t="s">
        <v>208</v>
      </c>
      <c r="E97" s="130">
        <v>10</v>
      </c>
      <c r="F97" s="94">
        <v>1</v>
      </c>
      <c r="G97" s="95">
        <f t="shared" si="10"/>
        <v>10</v>
      </c>
    </row>
    <row r="98" spans="2:7" ht="24" hidden="1" customHeight="1" x14ac:dyDescent="0.2">
      <c r="B98" s="90" t="s">
        <v>168</v>
      </c>
      <c r="C98" s="91" t="s">
        <v>169</v>
      </c>
      <c r="D98" s="92" t="s">
        <v>171</v>
      </c>
      <c r="E98" s="119">
        <v>1</v>
      </c>
      <c r="F98" s="94">
        <v>1</v>
      </c>
      <c r="G98" s="95">
        <f t="shared" si="10"/>
        <v>1</v>
      </c>
    </row>
    <row r="99" spans="2:7" ht="24" hidden="1" customHeight="1" x14ac:dyDescent="0.2">
      <c r="B99" s="90" t="s">
        <v>180</v>
      </c>
      <c r="C99" s="91" t="s">
        <v>172</v>
      </c>
      <c r="D99" s="92" t="s">
        <v>171</v>
      </c>
      <c r="E99" s="93">
        <v>1</v>
      </c>
      <c r="F99" s="94">
        <v>1</v>
      </c>
      <c r="G99" s="95">
        <f>F99*E99</f>
        <v>1</v>
      </c>
    </row>
    <row r="100" spans="2:7" ht="24" hidden="1" customHeight="1" x14ac:dyDescent="0.2">
      <c r="B100" s="90" t="s">
        <v>198</v>
      </c>
      <c r="C100" s="91" t="s">
        <v>175</v>
      </c>
      <c r="D100" s="92" t="s">
        <v>170</v>
      </c>
      <c r="E100" s="93">
        <v>1</v>
      </c>
      <c r="F100" s="94">
        <v>1</v>
      </c>
      <c r="G100" s="95">
        <f t="shared" si="10"/>
        <v>1</v>
      </c>
    </row>
    <row r="101" spans="2:7" ht="24" hidden="1" customHeight="1" x14ac:dyDescent="0.2">
      <c r="B101" s="90"/>
      <c r="C101" s="100" t="s">
        <v>176</v>
      </c>
      <c r="D101" s="92"/>
      <c r="E101" s="93"/>
      <c r="F101" s="120"/>
      <c r="G101" s="126">
        <f>E93*G93</f>
        <v>250</v>
      </c>
    </row>
    <row r="102" spans="2:7" ht="24" hidden="1" customHeight="1" x14ac:dyDescent="0.2">
      <c r="B102" s="90" t="s">
        <v>199</v>
      </c>
      <c r="C102" s="91" t="s">
        <v>182</v>
      </c>
      <c r="D102" s="92" t="s">
        <v>208</v>
      </c>
      <c r="E102" s="130">
        <v>10</v>
      </c>
      <c r="F102" s="94">
        <v>1</v>
      </c>
      <c r="G102" s="95">
        <f>F102*E102</f>
        <v>10</v>
      </c>
    </row>
    <row r="103" spans="2:7" ht="34.5" hidden="1" customHeight="1" x14ac:dyDescent="0.2">
      <c r="B103" s="90" t="s">
        <v>200</v>
      </c>
      <c r="C103" s="91" t="s">
        <v>183</v>
      </c>
      <c r="D103" s="92" t="s">
        <v>208</v>
      </c>
      <c r="E103" s="130">
        <v>10</v>
      </c>
      <c r="F103" s="94">
        <v>1</v>
      </c>
      <c r="G103" s="95">
        <f>F103*E103</f>
        <v>10</v>
      </c>
    </row>
    <row r="104" spans="2:7" ht="24" hidden="1" customHeight="1" x14ac:dyDescent="0.2">
      <c r="B104" s="121" t="s">
        <v>201</v>
      </c>
      <c r="C104" s="91" t="s">
        <v>184</v>
      </c>
      <c r="D104" s="92" t="s">
        <v>208</v>
      </c>
      <c r="E104" s="130">
        <v>10</v>
      </c>
      <c r="F104" s="122">
        <v>1</v>
      </c>
      <c r="G104" s="125">
        <f>E104*F104</f>
        <v>10</v>
      </c>
    </row>
    <row r="105" spans="2:7" ht="24" hidden="1" customHeight="1" x14ac:dyDescent="0.2">
      <c r="B105" s="121"/>
      <c r="C105" s="100" t="s">
        <v>207</v>
      </c>
      <c r="D105" s="117"/>
      <c r="E105" s="119"/>
      <c r="F105" s="123"/>
      <c r="G105" s="127">
        <f>(G94+G95+G98+G99+G100+G102+G103+G104)*E93</f>
        <v>350</v>
      </c>
    </row>
    <row r="106" spans="2:7" ht="24.75" customHeight="1" x14ac:dyDescent="0.2">
      <c r="B106" s="83"/>
      <c r="C106" s="115"/>
      <c r="D106" s="83"/>
      <c r="E106" s="83"/>
      <c r="F106" s="83"/>
      <c r="G106" s="84"/>
    </row>
    <row r="107" spans="2:7" ht="27" customHeight="1" x14ac:dyDescent="0.2">
      <c r="B107" s="279" t="s">
        <v>135</v>
      </c>
      <c r="C107" s="279"/>
      <c r="D107" s="279"/>
      <c r="E107" s="279"/>
      <c r="F107" s="279"/>
      <c r="G107" s="279"/>
    </row>
    <row r="108" spans="2:7" ht="33" customHeight="1" x14ac:dyDescent="0.2">
      <c r="B108" s="85" t="s">
        <v>136</v>
      </c>
      <c r="C108" s="86" t="s">
        <v>137</v>
      </c>
      <c r="D108" s="281" t="s">
        <v>138</v>
      </c>
      <c r="E108" s="282"/>
      <c r="F108" s="281" t="s">
        <v>139</v>
      </c>
      <c r="G108" s="282"/>
    </row>
    <row r="109" spans="2:7" ht="36.6" customHeight="1" x14ac:dyDescent="0.2">
      <c r="B109" s="102">
        <v>1</v>
      </c>
      <c r="C109" s="103" t="s">
        <v>220</v>
      </c>
      <c r="D109" s="297" t="s">
        <v>141</v>
      </c>
      <c r="E109" s="298"/>
      <c r="F109" s="293"/>
      <c r="G109" s="294"/>
    </row>
    <row r="110" spans="2:7" ht="36.6" customHeight="1" x14ac:dyDescent="0.2">
      <c r="B110" s="139">
        <v>2</v>
      </c>
      <c r="C110" s="103" t="s">
        <v>221</v>
      </c>
      <c r="D110" s="297" t="s">
        <v>140</v>
      </c>
      <c r="E110" s="298"/>
      <c r="F110" s="137"/>
      <c r="G110" s="138"/>
    </row>
    <row r="111" spans="2:7" ht="62.25" customHeight="1" x14ac:dyDescent="0.2">
      <c r="B111" s="139">
        <v>4</v>
      </c>
      <c r="C111" s="103" t="s">
        <v>222</v>
      </c>
      <c r="D111" s="297" t="s">
        <v>140</v>
      </c>
      <c r="E111" s="298"/>
      <c r="F111" s="295"/>
      <c r="G111" s="296"/>
    </row>
    <row r="112" spans="2:7" ht="49.5" customHeight="1" x14ac:dyDescent="0.2">
      <c r="B112" s="139">
        <v>5</v>
      </c>
      <c r="C112" s="124" t="s">
        <v>223</v>
      </c>
      <c r="D112" s="297" t="s">
        <v>140</v>
      </c>
      <c r="E112" s="298"/>
      <c r="F112" s="295"/>
      <c r="G112" s="296"/>
    </row>
    <row r="113" spans="2:7" ht="49.5" customHeight="1" x14ac:dyDescent="0.2">
      <c r="B113" s="141">
        <v>6</v>
      </c>
      <c r="C113" s="124" t="s">
        <v>224</v>
      </c>
      <c r="D113" s="297" t="s">
        <v>140</v>
      </c>
      <c r="E113" s="298"/>
      <c r="F113" s="295"/>
      <c r="G113" s="296"/>
    </row>
    <row r="114" spans="2:7" ht="45" x14ac:dyDescent="0.2">
      <c r="B114" s="141">
        <v>7</v>
      </c>
      <c r="C114" s="103" t="s">
        <v>148</v>
      </c>
      <c r="D114" s="297" t="s">
        <v>140</v>
      </c>
      <c r="E114" s="298"/>
      <c r="F114" s="295"/>
      <c r="G114" s="296"/>
    </row>
    <row r="115" spans="2:7" ht="30" x14ac:dyDescent="0.2">
      <c r="B115" s="141">
        <v>8</v>
      </c>
      <c r="C115" s="103" t="s">
        <v>212</v>
      </c>
      <c r="D115" s="297" t="s">
        <v>140</v>
      </c>
      <c r="E115" s="298"/>
      <c r="F115" s="295"/>
      <c r="G115" s="296"/>
    </row>
    <row r="116" spans="2:7" ht="30" x14ac:dyDescent="0.2">
      <c r="B116" s="141">
        <v>9</v>
      </c>
      <c r="C116" s="103" t="s">
        <v>149</v>
      </c>
      <c r="D116" s="297" t="s">
        <v>140</v>
      </c>
      <c r="E116" s="298"/>
      <c r="F116" s="295"/>
      <c r="G116" s="296"/>
    </row>
    <row r="117" spans="2:7" ht="42" customHeight="1" x14ac:dyDescent="0.2">
      <c r="B117" s="141">
        <v>10</v>
      </c>
      <c r="C117" s="103" t="s">
        <v>150</v>
      </c>
      <c r="D117" s="301" t="s">
        <v>151</v>
      </c>
      <c r="E117" s="301"/>
      <c r="F117" s="302"/>
      <c r="G117" s="302"/>
    </row>
    <row r="118" spans="2:7" ht="42" customHeight="1" x14ac:dyDescent="0.2">
      <c r="B118" s="106"/>
      <c r="C118" s="107"/>
      <c r="D118" s="106"/>
      <c r="E118" s="106"/>
      <c r="F118" s="108"/>
      <c r="G118" s="108"/>
    </row>
    <row r="119" spans="2:7" ht="15.75" x14ac:dyDescent="0.2">
      <c r="B119" s="299" t="s">
        <v>219</v>
      </c>
      <c r="C119" s="299"/>
      <c r="D119" s="110" t="s">
        <v>142</v>
      </c>
      <c r="E119" s="300" t="s">
        <v>143</v>
      </c>
      <c r="F119" s="300"/>
      <c r="G119" s="109"/>
    </row>
    <row r="120" spans="2:7" ht="15.75" x14ac:dyDescent="0.25">
      <c r="B120" s="111"/>
      <c r="C120" s="112"/>
      <c r="D120" s="112"/>
      <c r="E120" s="112"/>
      <c r="F120" s="112"/>
      <c r="G120" s="109"/>
    </row>
    <row r="121" spans="2:7" ht="15.75" x14ac:dyDescent="0.25">
      <c r="B121" s="113"/>
      <c r="C121" s="113" t="s">
        <v>144</v>
      </c>
      <c r="D121" s="114"/>
      <c r="E121" s="114"/>
      <c r="F121" s="114"/>
      <c r="G121" s="84"/>
    </row>
    <row r="122" spans="2:7" ht="15.75" x14ac:dyDescent="0.25">
      <c r="B122" s="87"/>
      <c r="C122" s="87"/>
      <c r="D122" s="87"/>
      <c r="E122" s="87"/>
      <c r="F122" s="87"/>
      <c r="G122" s="84"/>
    </row>
  </sheetData>
  <mergeCells count="37">
    <mergeCell ref="B119:C119"/>
    <mergeCell ref="E119:F119"/>
    <mergeCell ref="D117:E117"/>
    <mergeCell ref="F117:G117"/>
    <mergeCell ref="D116:E116"/>
    <mergeCell ref="F116:G116"/>
    <mergeCell ref="F115:G115"/>
    <mergeCell ref="D115:E115"/>
    <mergeCell ref="F114:G114"/>
    <mergeCell ref="D110:E110"/>
    <mergeCell ref="D112:E112"/>
    <mergeCell ref="F112:G112"/>
    <mergeCell ref="D114:E114"/>
    <mergeCell ref="F109:G109"/>
    <mergeCell ref="F111:G111"/>
    <mergeCell ref="D109:E109"/>
    <mergeCell ref="D111:E111"/>
    <mergeCell ref="F113:G113"/>
    <mergeCell ref="D113:E113"/>
    <mergeCell ref="B12:G12"/>
    <mergeCell ref="D1:F1"/>
    <mergeCell ref="E2:G2"/>
    <mergeCell ref="E3:G3"/>
    <mergeCell ref="E4:G4"/>
    <mergeCell ref="E5:G5"/>
    <mergeCell ref="B6:G6"/>
    <mergeCell ref="B8:G8"/>
    <mergeCell ref="B9:G9"/>
    <mergeCell ref="B10:G10"/>
    <mergeCell ref="B11:G11"/>
    <mergeCell ref="C7:G7"/>
    <mergeCell ref="B14:G14"/>
    <mergeCell ref="B16:G16"/>
    <mergeCell ref="B20:G20"/>
    <mergeCell ref="F108:G108"/>
    <mergeCell ref="D108:E108"/>
    <mergeCell ref="B107:G107"/>
  </mergeCells>
  <pageMargins left="0.7" right="0.7" top="0.75" bottom="0.75" header="0.3" footer="0.3"/>
  <pageSetup paperSize="9" orientation="portrait" r:id="rId1"/>
  <ignoredErrors>
    <ignoredError sqref="G25:G32 G33:G49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CB888DB68684D9B96DF17F48DCDD4" ma:contentTypeVersion="9" ma:contentTypeDescription="Create a new document." ma:contentTypeScope="" ma:versionID="04294913cbda440ace87a75e97965c70">
  <xsd:schema xmlns:xsd="http://www.w3.org/2001/XMLSchema" xmlns:xs="http://www.w3.org/2001/XMLSchema" xmlns:p="http://schemas.microsoft.com/office/2006/metadata/properties" xmlns:ns3="7c4fbaa9-261d-4e3a-a6ed-d8b191697086" xmlns:ns4="0e0adba1-9aba-4074-a14b-488bda8c5bbb" targetNamespace="http://schemas.microsoft.com/office/2006/metadata/properties" ma:root="true" ma:fieldsID="2e3f100584e4b69201f4eaccdd6c7ced" ns3:_="" ns4:_="">
    <xsd:import namespace="7c4fbaa9-261d-4e3a-a6ed-d8b191697086"/>
    <xsd:import namespace="0e0adba1-9aba-4074-a14b-488bda8c5b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fbaa9-261d-4e3a-a6ed-d8b191697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adba1-9aba-4074-a14b-488bda8c5b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04AF2D-FF81-4A61-B416-F72C647D4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4fbaa9-261d-4e3a-a6ed-d8b191697086"/>
    <ds:schemaRef ds:uri="0e0adba1-9aba-4074-a14b-488bda8c5b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BE8318-0154-4254-B7B2-DF52BC8F85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577A88-539C-48E5-A2BC-EB0909410B76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e0adba1-9aba-4074-a14b-488bda8c5bbb"/>
    <ds:schemaRef ds:uri="7c4fbaa9-261d-4e3a-a6ed-d8b1916970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Титульный лист</vt:lpstr>
      <vt:lpstr>Комментарии сторон</vt:lpstr>
      <vt:lpstr>Этапы реализации</vt:lpstr>
      <vt:lpstr> Приложение №1.1. к ТКП</vt:lpstr>
      <vt:lpstr>'Титульный лист'!Область_печати</vt:lpstr>
    </vt:vector>
  </TitlesOfParts>
  <Manager/>
  <Company>ERCOSPLAN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FLS2@FLSMIDTH.COM</dc:creator>
  <cp:keywords/>
  <dc:description/>
  <cp:lastModifiedBy>Саляев Алексей Борисович \ Aleksei Saliaev</cp:lastModifiedBy>
  <cp:revision/>
  <cp:lastPrinted>2022-11-30T06:08:33Z</cp:lastPrinted>
  <dcterms:created xsi:type="dcterms:W3CDTF">2008-11-05T14:32:45Z</dcterms:created>
  <dcterms:modified xsi:type="dcterms:W3CDTF">2026-07-29T14:47:26Z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0x010100211CB888DB68684D9B96DF17F48DCDD4</vt:lpwstr>
  </property>
</Properties>
</file>