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384" windowHeight="8192" firstSheet="3" activeTab="3"/>
  </bookViews>
  <sheets>
    <sheet sheetId="1" name="Титульный лист" state="hidden" r:id="rId4"/>
    <sheet sheetId="2" name="Комментарии сторон" state="hidden" r:id="rId5"/>
    <sheet sheetId="3" name="Этапы реализации" state="hidden" r:id="rId6"/>
    <sheet sheetId="4" name=" Приложение №1.1. к ТКП" state="visible" r:id="rId7"/>
  </sheets>
  <definedNames>
    <definedName name="_xlnm.Print_Area" localSheetId="0">'Титульный лист'!$B1:$S28</definedName>
  </definedNames>
  <calcPr calcId="171027" fullCalcOnLoad="1"/>
</workbook>
</file>

<file path=xl/sharedStrings.xml><?xml version="1.0" encoding="utf-8"?>
<sst xmlns="http://schemas.openxmlformats.org/spreadsheetml/2006/main" count="249" uniqueCount="204">
  <si>
    <t>Выпарная установка по выпариванию избыточных рассолов</t>
  </si>
  <si>
    <t xml:space="preserve">Контракт №: </t>
  </si>
  <si>
    <t xml:space="preserve">Проект  №:  </t>
  </si>
  <si>
    <t xml:space="preserve">Покупатель
ООО "ЕвроХим-Усольский Калийный Комбинат"</t>
  </si>
  <si>
    <t xml:space="preserve">Поставщик  
ООО "Научно-производственное объединение "Пассат"</t>
  </si>
  <si>
    <t>ПЕРЕЧЕНЬ ДОКУМЕНТОВ ДЛЯ РАЗРАБОТКИ РКД</t>
  </si>
  <si>
    <t xml:space="preserve">Документ № </t>
  </si>
  <si>
    <t>Статус рассмотрения документа</t>
  </si>
  <si>
    <t>Примечания:</t>
  </si>
  <si>
    <t>o</t>
  </si>
  <si>
    <t>E</t>
  </si>
  <si>
    <t>Продолжение работ согласовано.</t>
  </si>
  <si>
    <t>F</t>
  </si>
  <si>
    <t>Продолжение работ согласовано. Предоставить окончательный документ.</t>
  </si>
  <si>
    <t>G</t>
  </si>
  <si>
    <t>Откорректировать и предоставить повторно. Продолжение работ согласовано с учётом указанных корректировок.</t>
  </si>
  <si>
    <t>H</t>
  </si>
  <si>
    <t>Откорректировать и предоставить повторно. Продолжение работ не допускается.</t>
  </si>
  <si>
    <t>I</t>
  </si>
  <si>
    <t>Рассмотрение не требуется. Продолжение работ согласовано.</t>
  </si>
  <si>
    <t>ФИО:</t>
  </si>
  <si>
    <t>Дата:</t>
  </si>
  <si>
    <t>НПО Пассат:</t>
  </si>
  <si>
    <t>Рассмотрение и согласование</t>
  </si>
  <si>
    <t>Ред. №</t>
  </si>
  <si>
    <t>Дата</t>
  </si>
  <si>
    <t>Описание</t>
  </si>
  <si>
    <t>Выполнил</t>
  </si>
  <si>
    <t>Проверил</t>
  </si>
  <si>
    <t>Утвердил</t>
  </si>
  <si>
    <t>ООО "Научно-производственное объединение "Пассат"</t>
  </si>
  <si>
    <t>223710, Республика Беларусь, Минская обл., Солигорский р-н, Метявичское шоссе, д. 65</t>
  </si>
  <si>
    <t>тел: +375 174 23 35 25; office@npo.by</t>
  </si>
  <si>
    <t>Комментарий НПО Пассат</t>
  </si>
  <si>
    <t>Комментарий ЕвроХим</t>
  </si>
  <si>
    <r>
      <rPr>
        <charset val="204"/>
        <family val="2"/>
        <sz val="10"/>
        <rFont val="Arial"/>
      </rPr>
      <t xml:space="preserve">1. Во вкладке "Этапы реализации" необходимо обозначить  перечень предоставляемых данных и сроки реализации в рамках </t>
    </r>
    <r>
      <rPr>
        <b/>
        <charset val="204"/>
        <family val="2"/>
        <sz val="10"/>
        <rFont val="Arial"/>
      </rPr>
      <t>Базового проекта</t>
    </r>
    <r>
      <rPr>
        <charset val="204"/>
        <family val="2"/>
        <sz val="10"/>
        <rFont val="Arial"/>
      </rPr>
      <t xml:space="preserve">, который включает:
 - реинжиниринг и адаптацию проекта с учетом требования ТНПА, иных нормативных актов и пр., действующих в РФ (далее "Адаптация") на основании проекта Veolia </t>
    </r>
    <r>
      <rPr>
        <b/>
        <charset val="204"/>
        <family val="2"/>
        <sz val="10"/>
        <rFont val="Arial"/>
      </rPr>
      <t xml:space="preserve">c внесением соответствующих корректировок;
</t>
    </r>
    <r>
      <rPr>
        <charset val="204"/>
        <family val="2"/>
        <sz val="10"/>
        <rFont val="Arial"/>
      </rPr>
      <t xml:space="preserve"> - отдельно добавить необходимые пункты (неуказанные исходные данные), которые должны быть предоставлены в рамках Базового проекта;</t>
    </r>
  </si>
  <si>
    <t xml:space="preserve">2. Обозначить, рассматривается ли Заказчиком вариант реинжиниринга базового проекта Veolia без адаптации проекта с учетом требования ТНПА, иных нормативных актов и пр., действующих в РФ.
Комплект документации, предоставленный в рамках реинжиниринга, должен позволять дальнейшее  проектирование и проведение тендера на закупку комплексного решения с поставкой оборудования. Данный вариант необходимо рассматривать с учетом времени подготовки и объема предоставляемых документов, т.к. на адаптацию необходимо будет добавить значительное время.</t>
  </si>
  <si>
    <t xml:space="preserve">3. Обозначить ответственность за гарантийные показатели установки ВВУ для организации, которая будет осуществлять:
1. Реинжиниринг
2. Реинжиниринг и Адаптация
3. Реинжиниринг, РКД
4. Реинжиниринг, РКД, Адаптация</t>
  </si>
  <si>
    <t>4. Во вкладке "Спецификация" к оборудованию обозначить позиции, по которым должно быть предоставлено РКД (ДА - требуется, НЕТ - не требуется).</t>
  </si>
  <si>
    <t xml:space="preserve">5. На переговорах было сообщено об исключении комплекта оборудования сушки NaCl.
Чтобы в последующем  не было недопонимания просим во вкладке "Спецификация" отметить позиции, которые должны быть исключены (в столбцах РКД сделать пометку - "ИСКЛЮЧЕНО ИЗ КОМПЛЕКТА")</t>
  </si>
  <si>
    <r>
      <rPr>
        <b/>
        <charset val="204"/>
        <family val="2"/>
        <sz val="10"/>
        <rFont val="Arial"/>
      </rPr>
      <t xml:space="preserve">Обозначить нормативный документ, по которому будем определять комплектность РКД!!!
Исходя из данных, предоставленных во вкладке "Этапы реализации" определить, какие из документов ЕвроХим подразумевает как РКД, а какие как реинжиниринг...дописать требуемые.
</t>
    </r>
    <r>
      <rPr>
        <charset val="204"/>
        <family val="2"/>
        <sz val="10"/>
        <rFont val="Arial"/>
      </rPr>
      <t xml:space="preserve">
Согласно ГОСТ 2.102-68 рабочая конструкторская документация это: чертежи; технические условия (ТУ); спецификации; ведомости; схемы; методики и программы испытаний; таблицы и расчёты; инструкции; эксплуатационные и ремонтные документы и т.д.
В зависимости от комплектности (полноты) комплекта конструкторских документов следует различать:
основной конструкторский документ;
основной комплект конструкторских документов;
полный комплект конструкторских документов.
Основной комплект конструкторских документов изделия объединяет конструкторские документы, относящиеся ко всему изделию (составленные на все данное изделие в целом), например, сборочный чертеж, принципиальная электрическая схема, технические условия, эксплуатационные документы. Конструкторские документы составных частей в основной Комплект документов изделия не входят.
Полный комплект конструкторских документов изделия составляют (в общем случае) из следующих документов:
основного комплекта конструкторских документов на данное изделие;
основных комплектов конструкторских документов на все составные части данного изделия, примененные по своим основным конструкторским документам.
В состав комплекта КД на изделие или его составную часть обязательно входит основной конструкторский документ, который полностью и однозначно определяют данное изделие и его состав. За основные конструкторские документы принимают: для деталей – чертеж детали; для сборочных единиц, комплексов и комплектов – спецификацию.
ГОСТ 2.102-68 выделяет следующие виды конструкторских документов (в скобках указаны их коды):
Графические документы:
Чертеж детали;
Сборочный чертеж (СБ);
Чертеж общего вида (ВО);
Теоретический чертеж (ТЧ);
Габаритный чертеж (ГЧ);
Электромонтажный чертеж (МЭ);
Монтажный чертеж (МЧ);
Упаковочный чертеж (УЧ);
Схема (по ГОСТ 2.701);
Электронная модель детали;
Электронная модель сборочной единицы (ЭСБ);
Электронная структура изделия.
Текстовые документы;
Перечень элементов (ПЭ);
Пояснительная записка (ПЗ);
Таблица (ТБ);
Расчет (РР);
Инструкция (И);
Технические условия (ТУ);
Программа и методика испытаний (ПМ);
Эксплуатационные документы (по ГОСТ 2.601);
Ремонтные документы (по ГОСТ 2.602);
Спецификация;
Ведомость спецификаций (ВС);
Ведомость ссылочных документов (ВД);
Ведомость покупных изделий (ВП);
Ведомость разрешения применения покупных изделий (ВИ);
Ведомость держателей подлинников (ДП);
Ведомость технического предложения (ПТ);
Ведомость эскизного проекта (ЭП);
Ведомость технического проекта (ТП);
Ведомость электронных документов (ВДЭ).</t>
    </r>
  </si>
  <si>
    <t xml:space="preserve">Перечень исходных данных </t>
  </si>
  <si>
    <t>Порядок предоставления (нужное отметить)</t>
  </si>
  <si>
    <t>№ п/п</t>
  </si>
  <si>
    <t xml:space="preserve">Перечень </t>
  </si>
  <si>
    <t>Предоставляемый документ, наименование архива</t>
  </si>
  <si>
    <t>Стадия разработки</t>
  </si>
  <si>
    <t>Реинжиниринг по нормам DIN</t>
  </si>
  <si>
    <t xml:space="preserve">Срок предоставления для согласования/
утвержденное</t>
  </si>
  <si>
    <t>Разработка РКД нормам DIN</t>
  </si>
  <si>
    <t xml:space="preserve">Адаптация реинжиниринга 
и РКД</t>
  </si>
  <si>
    <t>БАЗОВЫЙ ИНЖИНИРИНГ</t>
  </si>
  <si>
    <t>1.1.</t>
  </si>
  <si>
    <t> Схема технологического процесса (PFD) с таблицей материальных потоков (вкл. инженерные системы);</t>
  </si>
  <si>
    <t xml:space="preserve">предварительно/
финал</t>
  </si>
  <si>
    <t>Х</t>
  </si>
  <si>
    <t xml:space="preserve">23.12.2022/
30.01.2023</t>
  </si>
  <si>
    <t>1.2.</t>
  </si>
  <si>
    <t> Массовый и тепловой балансы установки в пределах поставки;</t>
  </si>
  <si>
    <t>1.3.</t>
  </si>
  <si>
    <t xml:space="preserve"> Схема трубопроводов и измерительных приборов (P&amp;ID) </t>
  </si>
  <si>
    <t>1.4.</t>
  </si>
  <si>
    <t> Описание управления и эксплуатации</t>
  </si>
  <si>
    <t>1.5.</t>
  </si>
  <si>
    <t> Спецификация оборудования с указанием веса, конструкционных материалов</t>
  </si>
  <si>
    <t>1.6.</t>
  </si>
  <si>
    <t> 3D-модель (для планировочных решений по всему поставляемому оборудованию)</t>
  </si>
  <si>
    <t>1.7.</t>
  </si>
  <si>
    <t> чертежи общего вида с установочными, присоединительными и габаритными размерами, марки и объемы жидкостей для заливки</t>
  </si>
  <si>
    <t>1.8.</t>
  </si>
  <si>
    <t> строительное задание на устройство фундаментов и стальных конструкций с указанием нагрузок, размеров, анкерных колодцев, коэффициента динамической нагрузки</t>
  </si>
  <si>
    <t>1.9.</t>
  </si>
  <si>
    <t xml:space="preserve"> типы (расположение) фундаментных болтов;
(расчет длин болтов и анкеров входит в ответственность проектной организации)
</t>
  </si>
  <si>
    <t>1.10.</t>
  </si>
  <si>
    <t> таблица соединений на границах поставки</t>
  </si>
  <si>
    <t>1.11.</t>
  </si>
  <si>
    <t> компоновка оборудования, разрезы, планы</t>
  </si>
  <si>
    <t>1.12.</t>
  </si>
  <si>
    <t> 3D модели трубопроводной обвязки оборудования (для труб ≥DN50)</t>
  </si>
  <si>
    <t>1.13.</t>
  </si>
  <si>
    <t> Требования по защитным покрытиям и теплоизоляции оборудования</t>
  </si>
  <si>
    <t>1.14.</t>
  </si>
  <si>
    <t> перечень насосного оборудования с указанием габаритов, весовых характеристик</t>
  </si>
  <si>
    <t>1.15.</t>
  </si>
  <si>
    <t> Спецификации ЗИП и специальных приспособлений для обслуживания и ремонта</t>
  </si>
  <si>
    <t>1.16.</t>
  </si>
  <si>
    <t> Перечень трубопроводов</t>
  </si>
  <si>
    <t>1.17.</t>
  </si>
  <si>
    <t> Перечень запорной арматуры</t>
  </si>
  <si>
    <t>1.18.</t>
  </si>
  <si>
    <t> Перечень утилит (пар, вода и пр.)  с указанием точек потребления ресурсов (точек подвода коммуникаций)</t>
  </si>
  <si>
    <t>Автоматизация и силовое оборудование</t>
  </si>
  <si>
    <t>2.1.</t>
  </si>
  <si>
    <t> Однолинейная схема электроснабжения с указанием установленной и потребляемой мощности электрооборудования, с указанием требований к внешнему электроснабжению, с указанием требований к UPS (источникам бесперебойного питания)</t>
  </si>
  <si>
    <t>2.2.</t>
  </si>
  <si>
    <t> Кабельный журнал с указанием длин кабеля (силовые кабели);</t>
  </si>
  <si>
    <t>2.3.</t>
  </si>
  <si>
    <t> Схемы расположения оборудования (включая НКУ) с указанием кабельных проводок (силовые кабели)</t>
  </si>
  <si>
    <t>2.4.</t>
  </si>
  <si>
    <t> Схемы расположения оборудования с указанием кабельных и трубных проводок (контрольные и информационные кабели)</t>
  </si>
  <si>
    <t>2.5.</t>
  </si>
  <si>
    <t> Таблица с перечнем сигналов от устройств АСУ (КИПиА, ЗРА, НКУ и т.п)</t>
  </si>
  <si>
    <t>2.6.</t>
  </si>
  <si>
    <t> Перечень элементов НКУ</t>
  </si>
  <si>
    <t>2.7.</t>
  </si>
  <si>
    <t> Таблица с перечнем устройств ввода-вывода с техническими характеристиками (интерфейсы, количество портов и т.п.);</t>
  </si>
  <si>
    <t>2.8.</t>
  </si>
  <si>
    <t> Схемы электрические подключения;</t>
  </si>
  <si>
    <t>2.9.</t>
  </si>
  <si>
    <t> Ведомость шкафов НКУ с габаритными размерами и весами;</t>
  </si>
  <si>
    <t>2.10.</t>
  </si>
  <si>
    <t> Схемы электрические соединений НКУ;</t>
  </si>
  <si>
    <t>2.11.</t>
  </si>
  <si>
    <t> Пояснительная записка (состав АСУ НКУ, назначение, принцип действия, функции, алгоритмы управления оборудованием с детальным функциональным описанием, перечень защит и блокировок и т.п.);</t>
  </si>
  <si>
    <t>2.12.</t>
  </si>
  <si>
    <t> Схемы электрические структурные информационных сетей с указанием типов протоколов обмена данными между полевыми устройствами, устройствами ввода-вывода, устройствами передачи данных, операторскими панелями;</t>
  </si>
  <si>
    <t>2.13.</t>
  </si>
  <si>
    <t> Программное обеспечение для НКУ (в электронном виде);</t>
  </si>
  <si>
    <t>2.14.</t>
  </si>
  <si>
    <t> Раздел пояснительной записки «Математическое обеспечение»: перечень задач, методы решения задач, алгоритмы управления оборудованием с детальным функциональным описанием, перечень защит и блокировок и т.п;</t>
  </si>
  <si>
    <t>2.15.</t>
  </si>
  <si>
    <t> Общие виды шкафов, пультов с установочными, присоединительными и габаритными размерами, с указанием степени защиты, требований к размещению;</t>
  </si>
  <si>
    <t>2.16.</t>
  </si>
  <si>
    <t> Сборочные чертежи НКУ, шкафов, пультов, постов;</t>
  </si>
  <si>
    <t>2.17.</t>
  </si>
  <si>
    <t> Методика и программа испытаний оборудования и программного обеспечения.</t>
  </si>
  <si>
    <t>Форма №5</t>
  </si>
  <si>
    <t>ТЕНДЕРНОЕ ПРЕДЛОЖЕНИЕ</t>
  </si>
  <si>
    <t>на проведение разработку карьерного сайта компании ООО "ГРК"</t>
  </si>
  <si>
    <t>в лице______________________________________________</t>
  </si>
  <si>
    <t>(указать полное наименование юридического лица)______________________________________________</t>
  </si>
  <si>
    <t>________________________________________</t>
  </si>
  <si>
    <t>( Ф.И.О руководителя юридического  лица)</t>
  </si>
  <si>
    <t>действующего на основании ___________________________, предлагает следующие условия:</t>
  </si>
  <si>
    <t>Наименование этапа / состав работ</t>
  </si>
  <si>
    <t>Ед.изм.</t>
  </si>
  <si>
    <t>Кол-во</t>
  </si>
  <si>
    <t>Цена за ед., без НДС , руб.</t>
  </si>
  <si>
    <t>Стоимость без НДС, руб.</t>
  </si>
  <si>
    <t>Cрок поставки / выполнения услуг (календарные дни)</t>
  </si>
  <si>
    <t>1. Утверждение структуры</t>
  </si>
  <si>
    <t>чел./час</t>
  </si>
  <si>
    <t>Анализ ТЗ и разработка карты сайта</t>
  </si>
  <si>
    <t>Согласование структуры с заказчиком</t>
  </si>
  <si>
    <t>Утверждение контента</t>
  </si>
  <si>
    <t>Разработка сценариев игровых механик и текстов</t>
  </si>
  <si>
    <t>Согласование контента с заказчиком</t>
  </si>
  <si>
    <t>Выбор и утверждение дизайн-макета (из 3-х вариантов)</t>
  </si>
  <si>
    <t>3.1.</t>
  </si>
  <si>
    <t>3 дизайн-концепции на выбор, макеты mobile first и desktop</t>
  </si>
  <si>
    <t>3.2.</t>
  </si>
  <si>
    <t>Согласование и утверждение финального макета</t>
  </si>
  <si>
    <t>Правка/утверждение тестовой версии (дизайн-контент, не менее 5 этапов правок)</t>
  </si>
  <si>
    <t>4.1.</t>
  </si>
  <si>
    <t>Вёрстка и правки дизайна (не менее 5 итераций)</t>
  </si>
  <si>
    <t>4.2.</t>
  </si>
  <si>
    <t>Бэкенд и интеграции (в т.ч. с «Поток»)</t>
  </si>
  <si>
    <t>4.3.</t>
  </si>
  <si>
    <t>Игровые механики и ИИ-агент для соискателя</t>
  </si>
  <si>
    <t>Первичное тестирование</t>
  </si>
  <si>
    <t>5.1.</t>
  </si>
  <si>
    <t>Внутреннее тестирование функционала</t>
  </si>
  <si>
    <t>5.2.</t>
  </si>
  <si>
    <t>Проверка информационной безопасности</t>
  </si>
  <si>
    <t>Финальная проверка соответствия дизайна и контента</t>
  </si>
  <si>
    <t>6.1.</t>
  </si>
  <si>
    <t>Сверка вёрстки с утверждённым дизайном</t>
  </si>
  <si>
    <t>6.2.</t>
  </si>
  <si>
    <t>Проверка контента и текстов</t>
  </si>
  <si>
    <t>Запуск</t>
  </si>
  <si>
    <t>7.1.</t>
  </si>
  <si>
    <t>Запуск страниц предприятий (промежуточный релиз)</t>
  </si>
  <si>
    <t>7.2.</t>
  </si>
  <si>
    <t>Запуск полной версии сайта</t>
  </si>
  <si>
    <t>SEO-оптимизация сайта</t>
  </si>
  <si>
    <t>8.1.</t>
  </si>
  <si>
    <t>Техническая SEO-оптимизация (мета-теги, sitemap, robots.txt)</t>
  </si>
  <si>
    <t>8.2.</t>
  </si>
  <si>
    <t>Оптимизация контента страниц предприятий</t>
  </si>
  <si>
    <t>ИТОГО стоимость, без НДС</t>
  </si>
  <si>
    <t>Опросный лист:</t>
  </si>
  <si>
    <t>№п/п</t>
  </si>
  <si>
    <t>Параметр</t>
  </si>
  <si>
    <t>Варианты ответов</t>
  </si>
  <si>
    <t xml:space="preserve">Ответы
(для заполнения участником)</t>
  </si>
  <si>
    <t>Cрок оказания услуг с даты заключения договора</t>
  </si>
  <si>
    <t>указать срок в календарных днях</t>
  </si>
  <si>
    <t>3 месяца (90 календарных дней) с даты заключения договора</t>
  </si>
  <si>
    <t>Стоимость транспортных и командировочных расходов включена в стоимость услуг</t>
  </si>
  <si>
    <t>ДА/НЕТ (если нет - указать варианты)</t>
  </si>
  <si>
    <t>Не применимо — услуги оказываются удалённо, командировочные и транспортные расходы не предусмотрены</t>
  </si>
  <si>
    <t>Условия платежей  (Предлагаемые условия оплаты: 100% по факту оказания услуг в течение 20 рабочих дней). В случае необходимости предоставления аванса необходимо предоставить информацию о Банке-гаранте, Банковскую гарантию.</t>
  </si>
  <si>
    <t>НЕТ — предлагаем следующий порядок оплаты: 25% после утверждения дизайн-макета; 25% после завершения разработки (до тестирования); 25% после успешного завершения тестирования; 25% после полного запуска и подписания итогового акта. Окончательный расчёт — в течение 10 рабочих дней после подписания акта приёма-передачи.</t>
  </si>
  <si>
    <t>Готовность приступить к оказанию услуг по гарантийному письму</t>
  </si>
  <si>
    <t>ДА</t>
  </si>
  <si>
    <t>Согласие с подписанием Договора по типовой форме 4.5. оказание услуг, без Протокола разногласий</t>
  </si>
  <si>
    <t>Наше предложение подготовлено в полном соответствии с техническим заданием, его приложениями, с учетом требований стандартов и другой документацией, указанной в тендерном запросе.</t>
  </si>
  <si>
    <t>Срок действия нашего предложения – 90 календарных дней с момента подачи настоящего предложения.</t>
  </si>
  <si>
    <t>Прочая дополнительная информация, которую участник считает необходимым представить в составе Тендерного предложения.</t>
  </si>
  <si>
    <t>Комментарии к ТКП</t>
  </si>
  <si>
    <t>Указать (или приложить пояснения отдельным письмом)</t>
  </si>
  <si>
    <t>Руководитель участника (Уполномоченное лицо)</t>
  </si>
  <si>
    <t>Подпись</t>
  </si>
  <si>
    <t>М.П.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</si>
</sst>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mmm/yy"/>
  </numFmts>
  <fonts count="33" x14ac:knownFonts="1">
    <font>
      <color theme="1"/>
      <family val="2"/>
      <scheme val="minor"/>
      <sz val="11"/>
      <name val="Calibri"/>
    </font>
    <font>
      <b/>
      <charset val="1"/>
      <color theme="1"/>
      <family val="2"/>
      <sz val="14"/>
      <name val="Arial"/>
    </font>
    <font>
      <b/>
      <charset val="1"/>
      <color theme="1"/>
      <family val="2"/>
      <sz val="11"/>
      <name val="Arial"/>
    </font>
    <font>
      <b/>
      <charset val="1"/>
      <color theme="1"/>
      <family val="2"/>
      <sz val="18"/>
      <name val="Arial"/>
    </font>
    <font>
      <b/>
      <charset val="1"/>
      <color theme="1"/>
      <family val="2"/>
      <sz val="12"/>
      <name val="Arial"/>
    </font>
    <font>
      <charset val="1"/>
      <color theme="1"/>
      <family val="2"/>
      <sz val="12"/>
      <name val="Arial"/>
    </font>
    <font>
      <charset val="2"/>
      <color theme="1"/>
      <sz val="12"/>
      <name val="Wingdings"/>
    </font>
    <font>
      <b/>
      <charset val="1"/>
      <color theme="1"/>
      <family val="2"/>
      <sz val="10"/>
      <name val="Arial"/>
    </font>
    <font>
      <charset val="1"/>
      <color theme="1"/>
      <family val="2"/>
      <sz val="10"/>
      <name val="Arial"/>
    </font>
    <font>
      <charset val="1"/>
      <color theme="1"/>
      <family val="2"/>
      <sz val="11"/>
      <name val="Arial"/>
    </font>
    <font>
      <b/>
      <charset val="1"/>
      <color theme="1"/>
      <family val="2"/>
      <sz val="9"/>
      <name val="Arial"/>
    </font>
    <font>
      <charset val="1"/>
      <sz val="10"/>
      <name val="Arial"/>
    </font>
    <font>
      <b/>
      <charset val="204"/>
      <family val="2"/>
      <sz val="10"/>
      <name val="Arial"/>
    </font>
    <font>
      <charset val="204"/>
      <family val="2"/>
      <sz val="10"/>
      <name val="Arial"/>
    </font>
    <font>
      <b/>
      <charset val="204"/>
      <family val="2"/>
      <sz val="14"/>
      <name val="Arial"/>
    </font>
    <font>
      <charset val="204"/>
      <family val="2"/>
      <sz val="14"/>
      <name val="Arial"/>
    </font>
    <font>
      <charset val="204"/>
      <color rgb="FF000000"/>
      <family val="1"/>
      <sz val="10"/>
      <name val="Times New Roman"/>
    </font>
    <font>
      <charset val="204"/>
      <family val="1"/>
      <sz val="10"/>
      <name val="Times New Roman"/>
    </font>
    <font>
      <b/>
      <charset val="204"/>
      <color rgb="FF000000"/>
      <family val="1"/>
      <sz val="10"/>
      <name val="Times New Roman"/>
    </font>
    <font>
      <i/>
      <charset val="204"/>
      <color rgb="FF000000"/>
      <family val="1"/>
      <sz val="10"/>
      <name val="Times New Roman"/>
    </font>
    <font>
      <b/>
      <charset val="204"/>
      <color rgb="FF000000"/>
      <family val="1"/>
      <sz val="12"/>
      <name val="Times New Roman"/>
    </font>
    <font>
      <charset val="204"/>
      <family val="1"/>
      <sz val="12"/>
      <name val="Times New Roman"/>
    </font>
    <font>
      <b/>
      <charset val="204"/>
      <family val="1"/>
      <sz val="12"/>
      <name val="Times New Roman"/>
    </font>
    <font>
      <b/>
      <charset val="204"/>
      <family val="1"/>
      <sz val="11"/>
      <name val="Times New Roman"/>
    </font>
    <font>
      <b/>
      <charset val="204"/>
      <family val="2"/>
      <sz val="11"/>
      <name val="Arial"/>
    </font>
    <font>
      <charset val="204"/>
      <family val="2"/>
      <sz val="11"/>
      <name val="Arial"/>
    </font>
    <font>
      <b/>
      <charset val="204"/>
      <color rgb="FF000000"/>
      <family val="1"/>
      <sz val="11"/>
      <name val="Times New Roman"/>
    </font>
    <font>
      <charset val="204"/>
      <color rgb="FFFF0000"/>
      <family val="2"/>
      <sz val="10"/>
      <name val="Arial"/>
    </font>
    <font>
      <charset val="204"/>
      <color rgb="FF000000"/>
      <family val="1"/>
      <sz val="11"/>
      <name val="Times New Roman"/>
    </font>
    <font>
      <charset val="204"/>
      <color rgb="FF000000"/>
      <family val="1"/>
      <sz val="12"/>
      <name val="Times New Roman"/>
    </font>
    <font>
      <charset val="204"/>
      <color theme="1"/>
      <family val="1"/>
      <sz val="11"/>
      <name val="Times New Roman"/>
    </font>
    <font>
      <i/>
      <charset val="204"/>
      <color rgb="FF000000"/>
      <family val="1"/>
      <sz val="12"/>
      <name val="Times New Roman"/>
    </font>
    <font>
      <charset val="204"/>
      <family val="2"/>
      <sz val="12"/>
      <name val="Arial"/>
    </font>
  </fonts>
  <fills count="15">
    <fill>
      <patternFill patternType="none"/>
    </fill>
    <fill>
      <patternFill patternType="gray125"/>
    </fill>
    <fill>
      <patternFill patternType="solid">
        <fgColor theme="6" tint="0.5999"/>
        <bgColor rgb="FFCCFFCC"/>
      </patternFill>
    </fill>
    <fill>
      <patternFill patternType="solid">
        <fgColor rgb="FF00B0F0"/>
        <bgColor rgb="FF33CCCC"/>
      </patternFill>
    </fill>
    <fill>
      <patternFill patternType="solid">
        <fgColor theme="0" tint="-0.05"/>
        <bgColor rgb="FFFDEADA"/>
      </patternFill>
    </fill>
    <fill>
      <patternFill patternType="solid">
        <fgColor theme="0"/>
        <bgColor rgb="FFF2F2F2"/>
      </patternFill>
    </fill>
    <fill>
      <patternFill patternType="solid">
        <fgColor rgb="FF00FFFF"/>
        <bgColor rgb="FF00FFFF"/>
      </patternFill>
    </fill>
    <fill>
      <patternFill patternType="solid">
        <fgColor rgb="FFCCCCFF"/>
        <bgColor rgb="FFB9CDE5"/>
      </patternFill>
    </fill>
    <fill>
      <patternFill patternType="solid">
        <fgColor rgb="FFFFFFCC"/>
        <bgColor rgb="FFFDEADA"/>
      </patternFill>
    </fill>
    <fill>
      <patternFill patternType="solid">
        <fgColor theme="8" tint="0.3999"/>
        <bgColor rgb="FFB9CDE5"/>
      </patternFill>
    </fill>
    <fill>
      <patternFill patternType="solid">
        <fgColor rgb="FFCCFFCC"/>
        <bgColor rgb="FFD7E4BD"/>
      </patternFill>
    </fill>
    <fill>
      <patternFill patternType="solid">
        <fgColor rgb="FFFFFF00"/>
        <bgColor rgb="FFFFFF00"/>
      </patternFill>
    </fill>
    <fill>
      <patternFill patternType="solid">
        <fgColor theme="4" tint="0.5999"/>
        <bgColor rgb="FFCCCCFF"/>
      </patternFill>
    </fill>
    <fill>
      <patternFill patternType="solid">
        <fgColor theme="9" tint="0.7999"/>
        <bgColor rgb="FFF2F2F2"/>
      </patternFill>
    </fill>
    <fill>
      <patternFill patternType="solid">
        <fgColor rgb="FF92D050"/>
        <bgColor rgb="FF93CDDD"/>
      </patternFill>
    </fill>
  </fills>
  <borders count="44">
    <border>
      <left/>
      <right/>
      <top/>
      <bottom/>
      <diagonal/>
    </border>
    <border>
      <left style="double"/>
      <right style="double"/>
      <top style="double"/>
      <bottom style="medium"/>
      <diagonal/>
    </border>
    <border>
      <left style="double"/>
      <right style="medium"/>
      <top style="medium"/>
      <bottom style="medium"/>
      <diagonal/>
    </border>
    <border>
      <left style="medium"/>
      <right style="double"/>
      <top style="medium"/>
      <bottom/>
      <diagonal/>
    </border>
    <border>
      <left style="double"/>
      <right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double"/>
      <right style="double"/>
      <top style="medium"/>
      <bottom/>
      <diagonal/>
    </border>
    <border>
      <left style="double"/>
      <right style="double"/>
      <top/>
      <bottom/>
      <diagonal/>
    </border>
    <border>
      <left/>
      <right style="double"/>
      <top style="medium"/>
      <bottom/>
      <diagonal/>
    </border>
    <border>
      <left style="medium"/>
      <right style="medium"/>
      <top/>
      <bottom style="medium"/>
      <diagonal/>
    </border>
    <border>
      <left/>
      <right style="double"/>
      <top/>
      <bottom/>
      <diagonal/>
    </border>
    <border>
      <left style="medium"/>
      <right/>
      <top style="medium"/>
      <bottom/>
      <diagonal/>
    </border>
    <border>
      <left/>
      <right/>
      <top style="medium"/>
      <bottom/>
      <diagonal/>
    </border>
    <border>
      <left/>
      <right style="medium"/>
      <top style="medium"/>
      <bottom/>
      <diagonal/>
    </border>
    <border>
      <left style="medium"/>
      <right style="double"/>
      <top/>
      <bottom style="medium"/>
      <diagonal/>
    </border>
    <border>
      <left style="double"/>
      <right style="double"/>
      <top/>
      <bottom style="medium"/>
      <diagonal/>
    </border>
    <border>
      <left style="medium"/>
      <right style="double"/>
      <top style="medium"/>
      <bottom style="medium"/>
      <diagonal/>
    </border>
    <border>
      <left style="double"/>
      <right/>
      <top style="medium"/>
      <bottom style="double"/>
      <diagonal/>
    </border>
    <border>
      <left/>
      <right style="double"/>
      <top/>
      <bottom style="double"/>
      <diagonal/>
    </border>
    <border>
      <left style="thin"/>
      <right style="thin"/>
      <top style="thin"/>
      <bottom style="thin"/>
      <diagonal/>
    </border>
    <border>
      <left style="medium"/>
      <right style="thin"/>
      <top style="medium"/>
      <bottom style="medium"/>
      <diagonal/>
    </border>
    <border>
      <left style="thin"/>
      <right style="medium"/>
      <top style="medium"/>
      <bottom style="medium"/>
      <diagonal/>
    </border>
    <border>
      <left style="thin"/>
      <right style="thin"/>
      <top style="medium"/>
      <bottom style="medium"/>
      <diagonal/>
    </border>
    <border>
      <left style="medium"/>
      <right style="thin"/>
      <top/>
      <bottom style="thin"/>
      <diagonal/>
    </border>
    <border>
      <left style="thin"/>
      <right style="thin"/>
      <top/>
      <bottom style="thin"/>
      <diagonal/>
    </border>
    <border>
      <left style="thin"/>
      <right/>
      <top/>
      <bottom style="thin"/>
      <diagonal/>
    </border>
    <border>
      <left style="medium"/>
      <right style="thin"/>
      <top style="medium"/>
      <bottom style="thin"/>
      <diagonal/>
    </border>
    <border>
      <left style="thin"/>
      <right/>
      <top style="medium"/>
      <bottom style="thin"/>
      <diagonal/>
    </border>
    <border>
      <left style="thin"/>
      <right style="medium"/>
      <top style="medium"/>
      <bottom style="thin"/>
      <diagonal/>
    </border>
    <border>
      <left/>
      <right/>
      <top style="medium"/>
      <bottom style="thin"/>
      <diagonal/>
    </border>
    <border>
      <left style="medium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medium"/>
      <top style="thin"/>
      <bottom style="thin"/>
      <diagonal/>
    </border>
    <border>
      <left/>
      <right/>
      <top style="thin"/>
      <bottom style="thin"/>
      <diagonal/>
    </border>
    <border>
      <left style="medium"/>
      <right style="thin"/>
      <top style="thin"/>
      <bottom style="medium"/>
      <diagonal/>
    </border>
    <border>
      <left style="thin"/>
      <right style="thin"/>
      <top style="thin"/>
      <bottom style="medium"/>
      <diagonal/>
    </border>
    <border>
      <left style="thin"/>
      <right/>
      <top style="thin"/>
      <bottom style="medium"/>
      <diagonal/>
    </border>
    <border>
      <left style="thin"/>
      <right style="medium"/>
      <top style="thin"/>
      <bottom style="medium"/>
      <diagonal/>
    </border>
    <border>
      <left/>
      <right/>
      <top style="thin"/>
      <bottom style="medium"/>
      <diagonal/>
    </border>
    <border>
      <left style="thin"/>
      <right style="thin"/>
      <top style="thin"/>
      <bottom/>
      <diagonal/>
    </border>
    <border>
      <left style="thin"/>
      <right/>
      <top style="thin"/>
      <bottom/>
      <diagonal/>
    </border>
    <border>
      <left/>
      <right style="thin"/>
      <top style="thin"/>
      <bottom style="thin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5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justify" vertical="center" wrapText="1"/>
    </xf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8" xfId="0" applyFont="1" applyBorder="1" applyAlignment="1">
      <alignment vertical="center" wrapText="1"/>
    </xf>
    <xf numFmtId="0" fontId="6" fillId="0" borderId="9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justify" vertical="center" wrapText="1"/>
    </xf>
    <xf numFmtId="0" fontId="9" fillId="0" borderId="10" xfId="0" applyFont="1" applyBorder="1" applyAlignment="1">
      <alignment vertical="center" wrapText="1"/>
    </xf>
    <xf numFmtId="0" fontId="8" fillId="0" borderId="5" xfId="0" applyFont="1" applyBorder="1" applyAlignment="1">
      <alignment horizontal="left" vertical="center" wrapText="1"/>
    </xf>
    <xf numFmtId="0" fontId="8" fillId="0" borderId="5" xfId="0" applyFont="1" applyBorder="1" applyAlignment="1">
      <alignment vertical="center" wrapText="1"/>
    </xf>
    <xf numFmtId="0" fontId="7" fillId="0" borderId="11" xfId="0" applyFont="1" applyBorder="1" applyAlignment="1">
      <alignment vertical="center" wrapText="1"/>
    </xf>
    <xf numFmtId="0" fontId="7" fillId="0" borderId="12" xfId="0" applyFont="1" applyBorder="1" applyAlignment="1">
      <alignment vertical="center" wrapText="1"/>
    </xf>
    <xf numFmtId="0" fontId="7" fillId="0" borderId="13" xfId="0" applyFont="1" applyBorder="1" applyAlignment="1">
      <alignment vertical="center" wrapText="1"/>
    </xf>
    <xf numFmtId="0" fontId="8" fillId="0" borderId="1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left" vertical="center" wrapText="1"/>
    </xf>
    <xf numFmtId="0" fontId="4" fillId="0" borderId="15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9" fillId="0" borderId="16" xfId="0" applyFont="1" applyBorder="1" applyAlignment="1">
      <alignment horizontal="center" vertical="center" wrapText="1"/>
    </xf>
    <xf numFmtId="164" fontId="9" fillId="0" borderId="5" xfId="0" applyNumberFormat="1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 wrapText="1"/>
    </xf>
    <xf numFmtId="0" fontId="10" fillId="0" borderId="17" xfId="0" applyFont="1" applyBorder="1" applyAlignment="1">
      <alignment horizontal="center" vertical="center" wrapText="1"/>
    </xf>
    <xf numFmtId="0" fontId="2" fillId="0" borderId="8" xfId="0" applyFont="1" applyBorder="1" applyAlignment="1">
      <alignment vertical="center" wrapText="1"/>
    </xf>
    <xf numFmtId="0" fontId="8" fillId="0" borderId="10" xfId="0" applyFont="1" applyBorder="1" applyAlignment="1">
      <alignment vertical="center" wrapText="1"/>
    </xf>
    <xf numFmtId="0" fontId="8" fillId="0" borderId="18" xfId="0" applyFont="1" applyBorder="1" applyAlignment="1">
      <alignment vertical="center" wrapText="1"/>
    </xf>
    <xf numFmtId="0" fontId="11" fillId="0" borderId="0" xfId="0" applyFont="1" applyAlignment="1">
      <alignment vertical="bottom"/>
    </xf>
    <xf numFmtId="0" fontId="12" fillId="3" borderId="19" xfId="0" applyFont="1" applyFill="1" applyBorder="1" applyAlignment="1">
      <alignment horizontal="left" vertical="center"/>
    </xf>
    <xf numFmtId="0" fontId="12" fillId="3" borderId="19" xfId="0" applyFont="1" applyFill="1" applyBorder="1" applyAlignment="1">
      <alignment vertical="center"/>
    </xf>
    <xf numFmtId="0" fontId="13" fillId="4" borderId="19" xfId="0" applyFont="1" applyFill="1" applyBorder="1" applyAlignment="1">
      <alignment horizontal="left" vertical="top" wrapText="1"/>
    </xf>
    <xf numFmtId="0" fontId="11" fillId="4" borderId="19" xfId="0" applyFont="1" applyFill="1" applyBorder="1" applyAlignment="1">
      <alignment vertical="bottom"/>
    </xf>
    <xf numFmtId="0" fontId="13" fillId="0" borderId="19" xfId="0" applyFont="1" applyBorder="1" applyAlignment="1">
      <alignment horizontal="left" vertical="top" wrapText="1"/>
    </xf>
    <xf numFmtId="0" fontId="11" fillId="0" borderId="19" xfId="0" applyFont="1" applyBorder="1" applyAlignment="1">
      <alignment vertical="bottom"/>
    </xf>
    <xf numFmtId="0" fontId="12" fillId="5" borderId="19" xfId="0" applyFont="1" applyFill="1" applyBorder="1" applyAlignment="1">
      <alignment horizontal="left" vertical="top" wrapText="1"/>
    </xf>
    <xf numFmtId="0" fontId="11" fillId="5" borderId="19" xfId="0" applyFont="1" applyFill="1" applyBorder="1" applyAlignment="1">
      <alignment horizontal="center" vertical="bottom"/>
    </xf>
    <xf numFmtId="0" fontId="13" fillId="0" borderId="0" xfId="0" applyFont="1" applyAlignment="1">
      <alignment vertical="top" wrapText="1"/>
    </xf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vertical="bottom" wrapText="1"/>
    </xf>
    <xf numFmtId="0" fontId="12" fillId="0" borderId="0" xfId="0" applyFont="1" applyAlignment="1">
      <alignment horizontal="center" vertical="center"/>
    </xf>
    <xf numFmtId="49" fontId="12" fillId="0" borderId="0" xfId="0" applyNumberFormat="1" applyFont="1" applyAlignment="1">
      <alignment horizontal="center" vertical="center"/>
    </xf>
    <xf numFmtId="0" fontId="12" fillId="6" borderId="20" xfId="0" applyFont="1" applyFill="1" applyBorder="1" applyAlignment="1">
      <alignment horizontal="center" vertical="center"/>
    </xf>
    <xf numFmtId="0" fontId="12" fillId="7" borderId="21" xfId="0" applyFont="1" applyFill="1" applyBorder="1" applyAlignment="1">
      <alignment horizontal="center" vertical="center"/>
    </xf>
    <xf numFmtId="0" fontId="12" fillId="6" borderId="22" xfId="0" applyFont="1" applyFill="1" applyBorder="1" applyAlignment="1">
      <alignment horizontal="center" vertical="center" wrapText="1"/>
    </xf>
    <xf numFmtId="0" fontId="12" fillId="8" borderId="22" xfId="0" applyFont="1" applyFill="1" applyBorder="1" applyAlignment="1">
      <alignment horizontal="center" vertical="center" wrapText="1"/>
    </xf>
    <xf numFmtId="49" fontId="12" fillId="8" borderId="22" xfId="0" applyNumberFormat="1" applyFont="1" applyFill="1" applyBorder="1" applyAlignment="1">
      <alignment horizontal="center" vertical="center" wrapText="1"/>
    </xf>
    <xf numFmtId="0" fontId="12" fillId="9" borderId="21" xfId="0" applyFont="1" applyFill="1" applyBorder="1" applyAlignment="1">
      <alignment horizontal="center" vertical="center" wrapText="1"/>
    </xf>
    <xf numFmtId="0" fontId="12" fillId="10" borderId="21" xfId="0" applyFont="1" applyFill="1" applyBorder="1" applyAlignment="1">
      <alignment horizontal="center" vertical="center" wrapText="1"/>
    </xf>
    <xf numFmtId="0" fontId="12" fillId="11" borderId="5" xfId="0" applyFont="1" applyFill="1" applyBorder="1" applyAlignment="1">
      <alignment horizontal="center" vertical="center" wrapText="1"/>
    </xf>
    <xf numFmtId="0" fontId="11" fillId="4" borderId="0" xfId="0" applyFont="1" applyFill="1" applyAlignment="1">
      <alignment vertical="bottom"/>
    </xf>
    <xf numFmtId="0" fontId="11" fillId="4" borderId="23" xfId="0" applyFont="1" applyFill="1" applyBorder="1" applyAlignment="1">
      <alignment horizontal="center" vertical="center"/>
    </xf>
    <xf numFmtId="0" fontId="11" fillId="4" borderId="24" xfId="0" applyFont="1" applyFill="1" applyBorder="1" applyAlignment="1">
      <alignment vertical="bottom" wrapText="1"/>
    </xf>
    <xf numFmtId="0" fontId="11" fillId="4" borderId="24" xfId="0" applyFont="1" applyFill="1" applyBorder="1" applyAlignment="1">
      <alignment vertical="bottom"/>
    </xf>
    <xf numFmtId="0" fontId="11" fillId="4" borderId="25" xfId="0" applyFont="1" applyFill="1" applyBorder="1" applyAlignment="1">
      <alignment horizontal="center" vertical="center" wrapText="1"/>
    </xf>
    <xf numFmtId="0" fontId="14" fillId="4" borderId="26" xfId="0" applyFont="1" applyFill="1" applyBorder="1" applyAlignment="1">
      <alignment horizontal="center" vertical="center"/>
    </xf>
    <xf numFmtId="49" fontId="12" fillId="4" borderId="27" xfId="0" applyNumberFormat="1" applyFont="1" applyFill="1" applyBorder="1" applyAlignment="1">
      <alignment horizontal="center" vertical="center" wrapText="1"/>
    </xf>
    <xf numFmtId="0" fontId="15" fillId="4" borderId="26" xfId="0" applyFont="1" applyFill="1" applyBorder="1" applyAlignment="1">
      <alignment vertical="bottom"/>
    </xf>
    <xf numFmtId="0" fontId="15" fillId="4" borderId="28" xfId="0" applyFont="1" applyFill="1" applyBorder="1" applyAlignment="1">
      <alignment vertical="bottom"/>
    </xf>
    <xf numFmtId="0" fontId="15" fillId="4" borderId="29" xfId="0" applyFont="1" applyFill="1" applyBorder="1" applyAlignment="1">
      <alignment vertical="bottom"/>
    </xf>
    <xf numFmtId="0" fontId="11" fillId="4" borderId="28" xfId="0" applyFont="1" applyFill="1" applyBorder="1" applyAlignment="1">
      <alignment vertical="bottom"/>
    </xf>
    <xf numFmtId="0" fontId="11" fillId="0" borderId="30" xfId="0" applyFont="1" applyBorder="1" applyAlignment="1">
      <alignment horizontal="center" vertical="center"/>
    </xf>
    <xf numFmtId="0" fontId="11" fillId="0" borderId="19" xfId="0" applyFont="1" applyBorder="1" applyAlignment="1">
      <alignment vertical="bottom" wrapText="1"/>
    </xf>
    <xf numFmtId="0" fontId="11" fillId="0" borderId="31" xfId="0" applyFont="1" applyBorder="1" applyAlignment="1">
      <alignment vertical="bottom"/>
    </xf>
    <xf numFmtId="0" fontId="14" fillId="0" borderId="30" xfId="0" applyFont="1" applyBorder="1" applyAlignment="1">
      <alignment horizontal="center" vertical="center"/>
    </xf>
    <xf numFmtId="49" fontId="12" fillId="0" borderId="31" xfId="0" applyNumberFormat="1" applyFont="1" applyBorder="1" applyAlignment="1">
      <alignment horizontal="center" vertical="center"/>
    </xf>
    <xf numFmtId="0" fontId="15" fillId="0" borderId="30" xfId="0" applyFont="1" applyBorder="1" applyAlignment="1">
      <alignment vertical="bottom"/>
    </xf>
    <xf numFmtId="0" fontId="15" fillId="0" borderId="32" xfId="0" applyFont="1" applyBorder="1" applyAlignment="1">
      <alignment vertical="bottom"/>
    </xf>
    <xf numFmtId="0" fontId="15" fillId="0" borderId="33" xfId="0" applyFont="1" applyBorder="1" applyAlignment="1">
      <alignment vertical="bottom"/>
    </xf>
    <xf numFmtId="0" fontId="11" fillId="0" borderId="32" xfId="0" applyFont="1" applyBorder="1" applyAlignment="1">
      <alignment vertical="bottom"/>
    </xf>
    <xf numFmtId="0" fontId="11" fillId="4" borderId="30" xfId="0" applyFont="1" applyFill="1" applyBorder="1" applyAlignment="1">
      <alignment horizontal="center" vertical="center"/>
    </xf>
    <xf numFmtId="0" fontId="11" fillId="4" borderId="19" xfId="0" applyFont="1" applyFill="1" applyBorder="1" applyAlignment="1">
      <alignment vertical="bottom" wrapText="1"/>
    </xf>
    <xf numFmtId="0" fontId="11" fillId="4" borderId="31" xfId="0" applyFont="1" applyFill="1" applyBorder="1" applyAlignment="1">
      <alignment vertical="bottom"/>
    </xf>
    <xf numFmtId="0" fontId="14" fillId="4" borderId="30" xfId="0" applyFont="1" applyFill="1" applyBorder="1" applyAlignment="1">
      <alignment horizontal="center" vertical="center"/>
    </xf>
    <xf numFmtId="49" fontId="12" fillId="4" borderId="31" xfId="0" applyNumberFormat="1" applyFont="1" applyFill="1" applyBorder="1" applyAlignment="1">
      <alignment horizontal="center" vertical="center"/>
    </xf>
    <xf numFmtId="0" fontId="15" fillId="4" borderId="30" xfId="0" applyFont="1" applyFill="1" applyBorder="1" applyAlignment="1">
      <alignment vertical="bottom"/>
    </xf>
    <xf numFmtId="0" fontId="15" fillId="4" borderId="32" xfId="0" applyFont="1" applyFill="1" applyBorder="1" applyAlignment="1">
      <alignment vertical="bottom"/>
    </xf>
    <xf numFmtId="0" fontId="15" fillId="4" borderId="33" xfId="0" applyFont="1" applyFill="1" applyBorder="1" applyAlignment="1">
      <alignment vertical="bottom"/>
    </xf>
    <xf numFmtId="0" fontId="11" fillId="4" borderId="32" xfId="0" applyFont="1" applyFill="1" applyBorder="1" applyAlignment="1">
      <alignment vertical="bottom"/>
    </xf>
    <xf numFmtId="165" fontId="11" fillId="0" borderId="30" xfId="0" applyNumberFormat="1" applyFont="1" applyBorder="1" applyAlignment="1">
      <alignment horizontal="center" vertical="center"/>
    </xf>
    <xf numFmtId="0" fontId="11" fillId="8" borderId="30" xfId="0" applyFont="1" applyFill="1" applyBorder="1" applyAlignment="1">
      <alignment horizontal="left" vertical="center"/>
    </xf>
    <xf numFmtId="0" fontId="11" fillId="8" borderId="19" xfId="0" applyFont="1" applyFill="1" applyBorder="1" applyAlignment="1">
      <alignment vertical="bottom" wrapText="1"/>
    </xf>
    <xf numFmtId="0" fontId="11" fillId="8" borderId="19" xfId="0" applyFont="1" applyFill="1" applyBorder="1" applyAlignment="1">
      <alignment vertical="bottom"/>
    </xf>
    <xf numFmtId="0" fontId="11" fillId="8" borderId="31" xfId="0" applyFont="1" applyFill="1" applyBorder="1" applyAlignment="1">
      <alignment vertical="bottom"/>
    </xf>
    <xf numFmtId="0" fontId="14" fillId="8" borderId="30" xfId="0" applyFont="1" applyFill="1" applyBorder="1" applyAlignment="1">
      <alignment horizontal="center" vertical="center"/>
    </xf>
    <xf numFmtId="49" fontId="12" fillId="8" borderId="31" xfId="0" applyNumberFormat="1" applyFont="1" applyFill="1" applyBorder="1" applyAlignment="1">
      <alignment horizontal="center" vertical="center"/>
    </xf>
    <xf numFmtId="0" fontId="15" fillId="8" borderId="30" xfId="0" applyFont="1" applyFill="1" applyBorder="1" applyAlignment="1">
      <alignment vertical="bottom"/>
    </xf>
    <xf numFmtId="0" fontId="15" fillId="8" borderId="32" xfId="0" applyFont="1" applyFill="1" applyBorder="1" applyAlignment="1">
      <alignment vertical="bottom"/>
    </xf>
    <xf numFmtId="0" fontId="15" fillId="8" borderId="33" xfId="0" applyFont="1" applyFill="1" applyBorder="1" applyAlignment="1">
      <alignment vertical="bottom"/>
    </xf>
    <xf numFmtId="0" fontId="11" fillId="8" borderId="32" xfId="0" applyFont="1" applyFill="1" applyBorder="1" applyAlignment="1">
      <alignment vertical="bottom"/>
    </xf>
    <xf numFmtId="165" fontId="11" fillId="4" borderId="30" xfId="0" applyNumberFormat="1" applyFont="1" applyFill="1" applyBorder="1" applyAlignment="1">
      <alignment horizontal="center" vertical="center"/>
    </xf>
    <xf numFmtId="0" fontId="11" fillId="4" borderId="34" xfId="0" applyFont="1" applyFill="1" applyBorder="1" applyAlignment="1">
      <alignment horizontal="center" vertical="center"/>
    </xf>
    <xf numFmtId="0" fontId="11" fillId="4" borderId="35" xfId="0" applyFont="1" applyFill="1" applyBorder="1" applyAlignment="1">
      <alignment vertical="bottom" wrapText="1"/>
    </xf>
    <xf numFmtId="0" fontId="11" fillId="4" borderId="35" xfId="0" applyFont="1" applyFill="1" applyBorder="1" applyAlignment="1">
      <alignment vertical="bottom"/>
    </xf>
    <xf numFmtId="0" fontId="11" fillId="4" borderId="36" xfId="0" applyFont="1" applyFill="1" applyBorder="1" applyAlignment="1">
      <alignment vertical="bottom"/>
    </xf>
    <xf numFmtId="0" fontId="14" fillId="4" borderId="34" xfId="0" applyFont="1" applyFill="1" applyBorder="1" applyAlignment="1">
      <alignment horizontal="center" vertical="center"/>
    </xf>
    <xf numFmtId="49" fontId="12" fillId="4" borderId="36" xfId="0" applyNumberFormat="1" applyFont="1" applyFill="1" applyBorder="1" applyAlignment="1">
      <alignment horizontal="center" vertical="center"/>
    </xf>
    <xf numFmtId="0" fontId="15" fillId="4" borderId="34" xfId="0" applyFont="1" applyFill="1" applyBorder="1" applyAlignment="1">
      <alignment vertical="bottom"/>
    </xf>
    <xf numFmtId="0" fontId="15" fillId="4" borderId="37" xfId="0" applyFont="1" applyFill="1" applyBorder="1" applyAlignment="1">
      <alignment vertical="bottom"/>
    </xf>
    <xf numFmtId="0" fontId="15" fillId="4" borderId="38" xfId="0" applyFont="1" applyFill="1" applyBorder="1" applyAlignment="1">
      <alignment vertical="bottom"/>
    </xf>
    <xf numFmtId="0" fontId="11" fillId="4" borderId="37" xfId="0" applyFont="1" applyFill="1" applyBorder="1" applyAlignment="1">
      <alignment vertical="bottom"/>
    </xf>
    <xf numFmtId="0" fontId="16" fillId="0" borderId="0" xfId="0" applyFont="1" applyAlignment="1">
      <alignment vertical="bottom"/>
    </xf>
    <xf numFmtId="0" fontId="13" fillId="0" borderId="0" xfId="0" applyFont="1" applyAlignment="1">
      <alignment horizontal="center" vertical="bottom"/>
    </xf>
    <xf numFmtId="0" fontId="17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0" xfId="0" applyFont="1" applyAlignment="1">
      <alignment horizontal="left" vertical="center"/>
    </xf>
    <xf numFmtId="0" fontId="18" fillId="0" borderId="0" xfId="0" applyFont="1" applyAlignment="1">
      <alignment vertical="center"/>
    </xf>
    <xf numFmtId="0" fontId="16" fillId="0" borderId="0" xfId="0" applyFont="1" applyAlignment="1">
      <alignment horizontal="right" vertical="center"/>
    </xf>
    <xf numFmtId="0" fontId="18" fillId="0" borderId="0" xfId="0" applyFont="1" applyAlignment="1">
      <alignment horizontal="left" vertical="center"/>
    </xf>
    <xf numFmtId="0" fontId="18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 wrapText="1" shrinkToFit="1"/>
    </xf>
    <xf numFmtId="0" fontId="16" fillId="0" borderId="0" xfId="0" applyFont="1" applyAlignment="1">
      <alignment horizontal="left" vertical="center" wrapText="1"/>
    </xf>
    <xf numFmtId="0" fontId="19" fillId="0" borderId="0" xfId="0" applyFont="1" applyAlignment="1">
      <alignment horizontal="center" vertical="center"/>
    </xf>
    <xf numFmtId="0" fontId="19" fillId="0" borderId="0" xfId="0" applyFont="1" applyAlignment="1">
      <alignment horizontal="left" vertical="center"/>
    </xf>
    <xf numFmtId="0" fontId="16" fillId="0" borderId="0" xfId="0" applyFont="1" applyAlignment="1">
      <alignment horizontal="left" vertical="bottom"/>
    </xf>
    <xf numFmtId="0" fontId="20" fillId="12" borderId="39" xfId="0" applyFont="1" applyFill="1" applyBorder="1" applyAlignment="1">
      <alignment horizontal="center" vertical="center" wrapText="1"/>
    </xf>
    <xf numFmtId="0" fontId="20" fillId="12" borderId="40" xfId="0" applyFont="1" applyFill="1" applyBorder="1" applyAlignment="1">
      <alignment horizontal="center" vertical="center" wrapText="1"/>
    </xf>
    <xf numFmtId="0" fontId="21" fillId="0" borderId="24" xfId="0" applyFont="1" applyBorder="1" applyAlignment="1">
      <alignment horizontal="center" vertical="center" wrapText="1"/>
    </xf>
    <xf numFmtId="49" fontId="22" fillId="13" borderId="19" xfId="0" applyNumberFormat="1" applyFont="1" applyFill="1" applyBorder="1" applyAlignment="1">
      <alignment horizontal="left" vertical="center" wrapText="1"/>
    </xf>
    <xf numFmtId="0" fontId="23" fillId="0" borderId="41" xfId="0" applyFont="1" applyBorder="1" applyAlignment="1">
      <alignment horizontal="center" vertical="center" wrapText="1"/>
    </xf>
    <xf numFmtId="1" fontId="24" fillId="0" borderId="19" xfId="0" applyNumberFormat="1" applyFont="1" applyBorder="1" applyAlignment="1">
      <alignment horizontal="center" vertical="center" wrapText="1"/>
    </xf>
    <xf numFmtId="4" fontId="25" fillId="5" borderId="25" xfId="0" applyNumberFormat="1" applyFont="1" applyFill="1" applyBorder="1" applyAlignment="1">
      <alignment horizontal="right" vertical="center" wrapText="1"/>
    </xf>
    <xf numFmtId="4" fontId="26" fillId="0" borderId="24" xfId="0" applyNumberFormat="1" applyFont="1" applyBorder="1" applyAlignment="1">
      <alignment horizontal="right" vertical="center" wrapText="1"/>
    </xf>
    <xf numFmtId="0" fontId="27" fillId="0" borderId="19" xfId="0" applyFont="1" applyBorder="1" applyAlignment="1">
      <alignment vertical="center"/>
    </xf>
    <xf numFmtId="49" fontId="21" fillId="5" borderId="19" xfId="0" applyNumberFormat="1" applyFont="1" applyFill="1" applyBorder="1" applyAlignment="1">
      <alignment horizontal="left" vertical="center" wrapText="1"/>
    </xf>
    <xf numFmtId="1" fontId="25" fillId="0" borderId="19" xfId="0" applyNumberFormat="1" applyFont="1" applyBorder="1" applyAlignment="1">
      <alignment horizontal="center" vertical="center" wrapText="1"/>
    </xf>
    <xf numFmtId="4" fontId="28" fillId="0" borderId="24" xfId="0" applyNumberFormat="1" applyFont="1" applyBorder="1" applyAlignment="1">
      <alignment horizontal="right" vertical="center" wrapText="1"/>
    </xf>
    <xf numFmtId="0" fontId="16" fillId="0" borderId="19" xfId="0" applyFont="1" applyBorder="1" applyAlignment="1">
      <alignment vertical="bottom"/>
    </xf>
    <xf numFmtId="49" fontId="22" fillId="5" borderId="25" xfId="0" applyNumberFormat="1" applyFont="1" applyFill="1" applyBorder="1" applyAlignment="1">
      <alignment vertical="center" wrapText="1"/>
    </xf>
    <xf numFmtId="49" fontId="22" fillId="5" borderId="42" xfId="0" applyNumberFormat="1" applyFont="1" applyFill="1" applyBorder="1" applyAlignment="1">
      <alignment vertical="center" wrapText="1"/>
    </xf>
    <xf numFmtId="49" fontId="22" fillId="5" borderId="43" xfId="0" applyNumberFormat="1" applyFont="1" applyFill="1" applyBorder="1" applyAlignment="1">
      <alignment vertical="center" wrapText="1"/>
    </xf>
    <xf numFmtId="4" fontId="26" fillId="14" borderId="19" xfId="0" applyNumberFormat="1" applyFont="1" applyFill="1" applyBorder="1" applyAlignment="1">
      <alignment horizontal="right" vertical="center" wrapText="1"/>
    </xf>
    <xf numFmtId="0" fontId="20" fillId="0" borderId="19" xfId="0" applyFont="1" applyBorder="1" applyAlignment="1">
      <alignment horizontal="left" vertical="center" wrapText="1"/>
    </xf>
    <xf numFmtId="0" fontId="29" fillId="0" borderId="19" xfId="0" applyFont="1" applyBorder="1" applyAlignment="1">
      <alignment horizontal="left" vertical="center" wrapText="1"/>
    </xf>
    <xf numFmtId="0" fontId="29" fillId="0" borderId="19" xfId="0" applyFont="1" applyBorder="1" applyAlignment="1">
      <alignment horizontal="center" vertical="center" wrapText="1"/>
    </xf>
    <xf numFmtId="0" fontId="29" fillId="0" borderId="31" xfId="0" applyFont="1" applyBorder="1" applyAlignment="1">
      <alignment horizontal="center" vertical="center" wrapText="1"/>
    </xf>
    <xf numFmtId="0" fontId="28" fillId="0" borderId="19" xfId="0" applyFont="1" applyBorder="1" applyAlignment="1">
      <alignment horizontal="center" vertical="center" wrapText="1"/>
    </xf>
    <xf numFmtId="0" fontId="28" fillId="0" borderId="19" xfId="0" applyFont="1" applyBorder="1" applyAlignment="1">
      <alignment horizontal="left" vertical="center" wrapText="1"/>
    </xf>
    <xf numFmtId="0" fontId="28" fillId="0" borderId="31" xfId="0" applyFont="1" applyBorder="1" applyAlignment="1">
      <alignment horizontal="center" vertical="center" wrapText="1"/>
    </xf>
    <xf numFmtId="0" fontId="28" fillId="5" borderId="19" xfId="0" applyFont="1" applyFill="1" applyBorder="1" applyAlignment="1">
      <alignment horizontal="center" vertical="center" wrapText="1"/>
    </xf>
    <xf numFmtId="0" fontId="28" fillId="5" borderId="19" xfId="0" applyFont="1" applyFill="1" applyBorder="1" applyAlignment="1">
      <alignment vertical="center" wrapText="1"/>
    </xf>
    <xf numFmtId="0" fontId="30" fillId="0" borderId="19" xfId="0" applyFont="1" applyBorder="1" applyAlignment="1">
      <alignment vertical="center" wrapText="1" shrinkToFit="1"/>
    </xf>
    <xf numFmtId="0" fontId="28" fillId="0" borderId="0" xfId="0" applyFont="1" applyAlignment="1">
      <alignment horizontal="center" vertical="center" wrapText="1"/>
    </xf>
    <xf numFmtId="0" fontId="28" fillId="0" borderId="0" xfId="0" applyFont="1" applyAlignment="1">
      <alignment horizontal="left" vertical="center" wrapText="1"/>
    </xf>
    <xf numFmtId="0" fontId="28" fillId="0" borderId="0" xfId="0" applyFont="1" applyAlignment="1">
      <alignment vertical="center" wrapText="1"/>
    </xf>
    <xf numFmtId="0" fontId="29" fillId="0" borderId="0" xfId="0" applyFont="1" applyAlignment="1">
      <alignment horizontal="center" vertical="center"/>
    </xf>
    <xf numFmtId="0" fontId="31" fillId="0" borderId="0" xfId="0" applyFont="1" applyAlignment="1">
      <alignment horizontal="center" vertical="center"/>
    </xf>
    <xf numFmtId="0" fontId="32" fillId="0" borderId="0" xfId="0" applyFont="1" applyAlignment="1">
      <alignment horizontal="center" vertical="bottom"/>
    </xf>
    <xf numFmtId="0" fontId="29" fillId="0" borderId="0" xfId="0" applyFont="1" applyAlignment="1">
      <alignment vertical="bottom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1262520</xdr:colOff>
      <xdr:row>2</xdr:row>
      <xdr:rowOff>173160</xdr:rowOff>
    </xdr:from>
    <xdr:to>
      <xdr:col>15</xdr:col>
      <xdr:colOff>206280</xdr:colOff>
      <xdr:row>4</xdr:row>
      <xdr:rowOff>151200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193680</xdr:colOff>
      <xdr:row>25</xdr:row>
      <xdr:rowOff>38520</xdr:rowOff>
    </xdr:from>
    <xdr:to>
      <xdr:col>5</xdr:col>
      <xdr:colOff>92520</xdr:colOff>
      <xdr:row>27</xdr:row>
      <xdr:rowOff>201240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266760</xdr:colOff>
      <xdr:row>3</xdr:row>
      <xdr:rowOff>142920</xdr:rowOff>
    </xdr:from>
    <xdr:to>
      <xdr:col>11</xdr:col>
      <xdr:colOff>357480</xdr:colOff>
      <xdr:row>3</xdr:row>
      <xdr:rowOff>607320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Стандартная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B1:S29"/>
  <sheetViews>
    <sheetView workbookViewId="0" zoomScale="100" zoomScaleNormal="100" view="normal">
      <selection activeCell="E13" sqref="E13"/>
    </sheetView>
  </sheetViews>
  <sheetFormatPr defaultRowHeight="12.75" outlineLevelRow="0" outlineLevelCol="0" x14ac:dyDescent="0" defaultColWidth="11.42578125" customHeight="1"/>
  <cols>
    <col min="1" max="1" width="0.86" customWidth="1"/>
    <col min="2" max="2" width="4.42" customWidth="1"/>
    <col min="3" max="4" width="3" customWidth="1"/>
    <col min="5" max="5" width="3.42" customWidth="1"/>
    <col min="6" max="6" width="2.86" customWidth="1"/>
    <col min="7" max="7" width="3.57" customWidth="1"/>
    <col min="8" max="8" width="1.85" customWidth="1"/>
    <col min="9" max="11" width="4.57" customWidth="1"/>
    <col min="12" max="12" width="8.42" customWidth="1"/>
    <col min="13" max="13" width="20.57" customWidth="1"/>
    <col min="14" max="14" width="5.57" customWidth="1"/>
    <col min="15" max="15" width="5.42" customWidth="1"/>
    <col min="16" max="17" width="5.57" customWidth="1"/>
    <col min="18" max="18" width="3.57" customWidth="1"/>
    <col min="19" max="19" width="6.43" customWidth="1"/>
  </cols>
  <sheetData>
    <row r="1" ht="74.25" customHeight="1" spans="2:19" x14ac:dyDescent="0.25">
      <c r="B1" s="1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ht="18.75" customHeight="1" spans="2:19" x14ac:dyDescent="0.25">
      <c r="B2" s="2" t="s">
        <v>1</v>
      </c>
      <c r="C2" s="2"/>
      <c r="D2" s="2"/>
      <c r="E2" s="2"/>
      <c r="F2" s="2"/>
      <c r="G2" s="2"/>
      <c r="H2" s="2"/>
      <c r="I2" s="2"/>
      <c r="J2" s="2"/>
      <c r="K2" s="2"/>
      <c r="L2" s="2"/>
      <c r="M2" s="3" t="s">
        <v>2</v>
      </c>
      <c r="N2" s="3"/>
      <c r="O2" s="3"/>
      <c r="P2" s="3"/>
      <c r="Q2" s="3"/>
      <c r="R2" s="3"/>
      <c r="S2" s="3"/>
    </row>
    <row r="3" ht="15" customHeight="1" spans="2:19" x14ac:dyDescent="0.25">
      <c r="B3" s="4" t="s">
        <v>3</v>
      </c>
      <c r="C3" s="4"/>
      <c r="D3" s="4"/>
      <c r="E3" s="4"/>
      <c r="F3" s="4"/>
      <c r="G3" s="4"/>
      <c r="H3" s="4"/>
      <c r="I3" s="4"/>
      <c r="J3" s="4"/>
      <c r="K3" s="4"/>
      <c r="L3" s="4"/>
      <c r="M3" s="5" t="s">
        <v>4</v>
      </c>
      <c r="N3" s="5"/>
      <c r="O3" s="5"/>
      <c r="P3" s="5"/>
      <c r="Q3" s="5"/>
      <c r="R3" s="5"/>
      <c r="S3" s="5"/>
    </row>
    <row r="4" ht="48" customHeight="1" spans="2:19" x14ac:dyDescent="0.25"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5"/>
      <c r="N4" s="5"/>
      <c r="O4" s="5"/>
      <c r="P4" s="5"/>
      <c r="Q4" s="5"/>
      <c r="R4" s="5"/>
      <c r="S4" s="5"/>
    </row>
    <row r="5" ht="42.75" customHeight="1" spans="2:19" x14ac:dyDescent="0.25"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5"/>
      <c r="N5" s="5"/>
      <c r="O5" s="5"/>
      <c r="P5" s="5"/>
      <c r="Q5" s="5"/>
      <c r="R5" s="5"/>
      <c r="S5" s="5"/>
    </row>
    <row r="6" ht="23.25" customHeight="1" spans="2:19" x14ac:dyDescent="0.25"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</row>
    <row r="7" ht="23.25" customHeight="1" spans="2:19" x14ac:dyDescent="0.25"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</row>
    <row r="8" ht="15.75" customHeight="1" spans="2:19" x14ac:dyDescent="0.25">
      <c r="B8" s="8" t="s">
        <v>6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</row>
    <row r="9" ht="15.75" customHeight="1" spans="2:19" x14ac:dyDescent="0.25"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</row>
    <row r="10" ht="16.5" customHeight="1" spans="2:19" x14ac:dyDescent="0.25">
      <c r="B10" s="10" t="s">
        <v>7</v>
      </c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1" t="s">
        <v>8</v>
      </c>
      <c r="P10" s="11"/>
      <c r="Q10" s="11"/>
      <c r="R10" s="11"/>
      <c r="S10" s="11"/>
    </row>
    <row r="11" ht="33" customHeight="1" spans="2:19" x14ac:dyDescent="0.25">
      <c r="B11" s="12" t="s">
        <v>9</v>
      </c>
      <c r="C11" s="13" t="s">
        <v>10</v>
      </c>
      <c r="D11" s="13"/>
      <c r="E11" s="14" t="s">
        <v>11</v>
      </c>
      <c r="F11" s="14"/>
      <c r="G11" s="14"/>
      <c r="H11" s="14"/>
      <c r="I11" s="14"/>
      <c r="J11" s="14"/>
      <c r="K11" s="14"/>
      <c r="L11" s="14"/>
      <c r="M11" s="14"/>
      <c r="N11" s="14"/>
      <c r="O11" s="15"/>
      <c r="P11" s="15"/>
      <c r="Q11" s="15"/>
      <c r="R11" s="15"/>
      <c r="S11" s="15"/>
    </row>
    <row r="12" ht="33" customHeight="1" spans="2:19" x14ac:dyDescent="0.25">
      <c r="B12" s="12" t="s">
        <v>9</v>
      </c>
      <c r="C12" s="13" t="s">
        <v>12</v>
      </c>
      <c r="D12" s="13"/>
      <c r="E12" s="16" t="s">
        <v>13</v>
      </c>
      <c r="F12" s="16"/>
      <c r="G12" s="16"/>
      <c r="H12" s="16"/>
      <c r="I12" s="16"/>
      <c r="J12" s="16"/>
      <c r="K12" s="16"/>
      <c r="L12" s="16"/>
      <c r="M12" s="16"/>
      <c r="N12" s="16"/>
      <c r="O12" s="15"/>
      <c r="P12" s="15"/>
      <c r="Q12" s="15"/>
      <c r="R12" s="15"/>
      <c r="S12" s="15"/>
    </row>
    <row r="13" ht="33" customHeight="1" spans="2:19" x14ac:dyDescent="0.25">
      <c r="B13" s="12" t="s">
        <v>9</v>
      </c>
      <c r="C13" s="13" t="s">
        <v>14</v>
      </c>
      <c r="D13" s="13"/>
      <c r="E13" s="17" t="s">
        <v>15</v>
      </c>
      <c r="F13" s="17"/>
      <c r="G13" s="17"/>
      <c r="H13" s="17"/>
      <c r="I13" s="17"/>
      <c r="J13" s="17"/>
      <c r="K13" s="17"/>
      <c r="L13" s="17"/>
      <c r="M13" s="17"/>
      <c r="N13" s="17"/>
      <c r="O13" s="15"/>
      <c r="P13" s="15"/>
      <c r="Q13" s="15"/>
      <c r="R13" s="15"/>
      <c r="S13" s="15"/>
    </row>
    <row r="14" ht="33" customHeight="1" spans="2:19" x14ac:dyDescent="0.25">
      <c r="B14" s="12" t="s">
        <v>9</v>
      </c>
      <c r="C14" s="13" t="s">
        <v>16</v>
      </c>
      <c r="D14" s="13"/>
      <c r="E14" s="14" t="s">
        <v>17</v>
      </c>
      <c r="F14" s="14"/>
      <c r="G14" s="14"/>
      <c r="H14" s="14"/>
      <c r="I14" s="14"/>
      <c r="J14" s="14"/>
      <c r="K14" s="14"/>
      <c r="L14" s="14"/>
      <c r="M14" s="14"/>
      <c r="N14" s="14"/>
      <c r="O14" s="15"/>
      <c r="P14" s="15"/>
      <c r="Q14" s="15"/>
      <c r="R14" s="15"/>
      <c r="S14" s="15"/>
    </row>
    <row r="15" ht="33" customHeight="1" spans="2:19" x14ac:dyDescent="0.25">
      <c r="B15" s="12" t="s">
        <v>9</v>
      </c>
      <c r="C15" s="13" t="s">
        <v>18</v>
      </c>
      <c r="D15" s="13"/>
      <c r="E15" s="16" t="s">
        <v>19</v>
      </c>
      <c r="F15" s="16"/>
      <c r="G15" s="16"/>
      <c r="H15" s="16"/>
      <c r="I15" s="16"/>
      <c r="J15" s="16"/>
      <c r="K15" s="16"/>
      <c r="L15" s="16"/>
      <c r="M15" s="16"/>
      <c r="N15" s="16"/>
      <c r="O15" s="15"/>
      <c r="P15" s="15"/>
      <c r="Q15" s="15"/>
      <c r="R15" s="15"/>
      <c r="S15" s="15"/>
    </row>
    <row r="16" ht="28.5" customHeight="1" spans="2:19" x14ac:dyDescent="0.25">
      <c r="B16" s="18" t="s">
        <v>20</v>
      </c>
      <c r="C16" s="18"/>
      <c r="D16" s="18"/>
      <c r="E16" s="18"/>
      <c r="F16" s="18"/>
      <c r="G16" s="18"/>
      <c r="H16" s="18"/>
      <c r="I16" s="18"/>
      <c r="J16" s="19"/>
      <c r="K16" s="19"/>
      <c r="L16" s="20" t="s">
        <v>21</v>
      </c>
      <c r="M16" s="20"/>
      <c r="N16" s="20"/>
      <c r="O16" s="21"/>
      <c r="P16" s="21"/>
      <c r="Q16" s="21"/>
      <c r="R16" s="21"/>
      <c r="S16" s="21"/>
    </row>
    <row r="17" ht="28.5" customHeight="1" spans="2:19" x14ac:dyDescent="0.25">
      <c r="B17" s="22" t="s">
        <v>22</v>
      </c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1"/>
      <c r="P17" s="21"/>
      <c r="Q17" s="21"/>
      <c r="R17" s="21"/>
      <c r="S17" s="21"/>
    </row>
    <row r="18" ht="27" customHeight="1" spans="2:19" x14ac:dyDescent="0.25">
      <c r="B18" s="23" t="s">
        <v>23</v>
      </c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</row>
    <row r="19" ht="21.75" customHeight="1" spans="2:19" x14ac:dyDescent="0.25">
      <c r="B19" s="24"/>
      <c r="C19" s="24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6"/>
      <c r="S19" s="26"/>
    </row>
    <row r="20" ht="21.75" customHeight="1" spans="2:19" x14ac:dyDescent="0.25">
      <c r="B20" s="24"/>
      <c r="C20" s="24"/>
      <c r="D20" s="27"/>
      <c r="E20" s="27"/>
      <c r="F20" s="27"/>
      <c r="G20" s="27"/>
      <c r="H20" s="16"/>
      <c r="I20" s="16"/>
      <c r="J20" s="16"/>
      <c r="K20" s="16"/>
      <c r="L20" s="16"/>
      <c r="M20" s="16"/>
      <c r="N20" s="28"/>
      <c r="O20" s="28"/>
      <c r="P20" s="28"/>
      <c r="Q20" s="28"/>
      <c r="R20" s="26"/>
      <c r="S20" s="26"/>
    </row>
    <row r="21" ht="21.75" customHeight="1" spans="2:19" x14ac:dyDescent="0.25">
      <c r="B21" s="24"/>
      <c r="C21" s="24"/>
      <c r="D21" s="27"/>
      <c r="E21" s="27"/>
      <c r="F21" s="27"/>
      <c r="G21" s="27"/>
      <c r="H21" s="16"/>
      <c r="I21" s="16"/>
      <c r="J21" s="16"/>
      <c r="K21" s="16"/>
      <c r="L21" s="16"/>
      <c r="M21" s="16"/>
      <c r="N21" s="28"/>
      <c r="O21" s="28"/>
      <c r="P21" s="28"/>
      <c r="Q21" s="28"/>
      <c r="R21" s="28"/>
      <c r="S21" s="28"/>
    </row>
    <row r="22" ht="21.75" customHeight="1" spans="2:19" x14ac:dyDescent="0.25">
      <c r="B22" s="24"/>
      <c r="C22" s="24"/>
      <c r="D22" s="27"/>
      <c r="E22" s="27"/>
      <c r="F22" s="27"/>
      <c r="G22" s="27"/>
      <c r="H22" s="16"/>
      <c r="I22" s="16"/>
      <c r="J22" s="16"/>
      <c r="K22" s="16"/>
      <c r="L22" s="16"/>
      <c r="M22" s="16"/>
      <c r="N22" s="28"/>
      <c r="O22" s="28"/>
      <c r="P22" s="28"/>
      <c r="Q22" s="28"/>
      <c r="R22" s="28"/>
      <c r="S22" s="28"/>
    </row>
    <row r="23" ht="21.75" customHeight="1" spans="2:19" x14ac:dyDescent="0.25">
      <c r="B23" s="29"/>
      <c r="C23" s="29"/>
      <c r="D23" s="27"/>
      <c r="E23" s="27"/>
      <c r="F23" s="27"/>
      <c r="G23" s="27"/>
      <c r="H23" s="16"/>
      <c r="I23" s="16"/>
      <c r="J23" s="16"/>
      <c r="K23" s="16"/>
      <c r="L23" s="16"/>
      <c r="M23" s="16"/>
      <c r="N23" s="28"/>
      <c r="O23" s="28"/>
      <c r="P23" s="28"/>
      <c r="Q23" s="28"/>
      <c r="R23" s="26"/>
      <c r="S23" s="26"/>
    </row>
    <row r="24" ht="21.75" customHeight="1" spans="2:19" x14ac:dyDescent="0.25">
      <c r="B24" s="29"/>
      <c r="C24" s="29"/>
      <c r="D24" s="27"/>
      <c r="E24" s="27"/>
      <c r="F24" s="27"/>
      <c r="G24" s="27"/>
      <c r="H24" s="16"/>
      <c r="I24" s="16"/>
      <c r="J24" s="16"/>
      <c r="K24" s="16"/>
      <c r="L24" s="16"/>
      <c r="M24" s="16"/>
      <c r="N24" s="28"/>
      <c r="O24" s="28"/>
      <c r="P24" s="28"/>
      <c r="Q24" s="28"/>
      <c r="R24" s="26"/>
      <c r="S24" s="26"/>
    </row>
    <row r="25" ht="27.75" customHeight="1" spans="2:19" x14ac:dyDescent="0.25">
      <c r="B25" s="30" t="s">
        <v>24</v>
      </c>
      <c r="C25" s="30"/>
      <c r="D25" s="13" t="s">
        <v>25</v>
      </c>
      <c r="E25" s="13"/>
      <c r="F25" s="13"/>
      <c r="G25" s="13"/>
      <c r="H25" s="13" t="s">
        <v>26</v>
      </c>
      <c r="I25" s="13"/>
      <c r="J25" s="13"/>
      <c r="K25" s="13"/>
      <c r="L25" s="13"/>
      <c r="M25" s="13"/>
      <c r="N25" s="13" t="s">
        <v>27</v>
      </c>
      <c r="O25" s="13"/>
      <c r="P25" s="13" t="s">
        <v>28</v>
      </c>
      <c r="Q25" s="13"/>
      <c r="R25" s="31" t="s">
        <v>29</v>
      </c>
      <c r="S25" s="31"/>
    </row>
    <row r="26" ht="15" customHeight="1" spans="2:19" x14ac:dyDescent="0.25">
      <c r="B26" s="32"/>
      <c r="C26" s="32"/>
      <c r="D26" s="32"/>
      <c r="E26" s="32"/>
      <c r="F26" s="32"/>
      <c r="G26" s="33" t="s">
        <v>30</v>
      </c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</row>
    <row r="27" ht="20.25" customHeight="1" spans="2:19" x14ac:dyDescent="0.25">
      <c r="B27" s="32"/>
      <c r="C27" s="32"/>
      <c r="D27" s="32"/>
      <c r="E27" s="32"/>
      <c r="F27" s="32"/>
      <c r="G27" s="34" t="s">
        <v>31</v>
      </c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</row>
    <row r="28" ht="18.75" customHeight="1" spans="2:19" x14ac:dyDescent="0.25">
      <c r="B28" s="32"/>
      <c r="C28" s="32"/>
      <c r="D28" s="32"/>
      <c r="E28" s="32"/>
      <c r="F28" s="32"/>
      <c r="G28" s="35" t="s">
        <v>32</v>
      </c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</row>
    <row r="29" ht="13.5" customHeight="1" spans="2:2" x14ac:dyDescent="0.25">
      <c r="B29" s="36"/>
    </row>
  </sheetData>
  <mergeCells count="73">
    <mergeCell ref="B1:S1"/>
    <mergeCell ref="B2:L2"/>
    <mergeCell ref="M2:S2"/>
    <mergeCell ref="B3:L5"/>
    <mergeCell ref="M3:S5"/>
    <mergeCell ref="B6:S6"/>
    <mergeCell ref="B7:S7"/>
    <mergeCell ref="B8:S8"/>
    <mergeCell ref="B9:S9"/>
    <mergeCell ref="B10:N10"/>
    <mergeCell ref="O10:S10"/>
    <mergeCell ref="C11:D11"/>
    <mergeCell ref="E11:N11"/>
    <mergeCell ref="O11:S15"/>
    <mergeCell ref="C12:D12"/>
    <mergeCell ref="E12:N12"/>
    <mergeCell ref="C13:D13"/>
    <mergeCell ref="E13:N13"/>
    <mergeCell ref="C14:D14"/>
    <mergeCell ref="E14:N14"/>
    <mergeCell ref="C15:D15"/>
    <mergeCell ref="E15:N15"/>
    <mergeCell ref="B16:I16"/>
    <mergeCell ref="L16:N16"/>
    <mergeCell ref="O16:S17"/>
    <mergeCell ref="B17:N17"/>
    <mergeCell ref="B18:S18"/>
    <mergeCell ref="B19:C19"/>
    <mergeCell ref="D19:G19"/>
    <mergeCell ref="H19:M19"/>
    <mergeCell ref="N19:O19"/>
    <mergeCell ref="P19:Q19"/>
    <mergeCell ref="R19:S19"/>
    <mergeCell ref="B20:C20"/>
    <mergeCell ref="D20:G20"/>
    <mergeCell ref="H20:M20"/>
    <mergeCell ref="N20:O20"/>
    <mergeCell ref="P20:Q20"/>
    <mergeCell ref="R20:S20"/>
    <mergeCell ref="B21:C21"/>
    <mergeCell ref="D21:G21"/>
    <mergeCell ref="H21:M21"/>
    <mergeCell ref="N21:O21"/>
    <mergeCell ref="P21:Q21"/>
    <mergeCell ref="R21:S21"/>
    <mergeCell ref="B22:C22"/>
    <mergeCell ref="D22:G22"/>
    <mergeCell ref="H22:M22"/>
    <mergeCell ref="N22:O22"/>
    <mergeCell ref="P22:Q22"/>
    <mergeCell ref="R22:S22"/>
    <mergeCell ref="B23:C23"/>
    <mergeCell ref="D23:G23"/>
    <mergeCell ref="H23:M23"/>
    <mergeCell ref="N23:O23"/>
    <mergeCell ref="P23:Q23"/>
    <mergeCell ref="R23:S23"/>
    <mergeCell ref="B24:C24"/>
    <mergeCell ref="D24:G24"/>
    <mergeCell ref="H24:M24"/>
    <mergeCell ref="N24:O24"/>
    <mergeCell ref="P24:Q24"/>
    <mergeCell ref="R24:S24"/>
    <mergeCell ref="B25:C25"/>
    <mergeCell ref="D25:G25"/>
    <mergeCell ref="H25:M25"/>
    <mergeCell ref="N25:O25"/>
    <mergeCell ref="P25:Q25"/>
    <mergeCell ref="R25:S25"/>
    <mergeCell ref="B26:F28"/>
    <mergeCell ref="G26:S26"/>
    <mergeCell ref="G27:S27"/>
    <mergeCell ref="G28:S28"/>
  </mergeCells>
  <pageMargins left="0.433333333333333" right="0.472222222222222" top="0.590277777777778" bottom="0.39375" header="0.511811023622047" footer="0.511811023622047"/>
  <pageSetup paperSize="9" orientation="portrait" horizontalDpi="300" verticalDpi="300" scale="97" fitToWidth="1" fitToHeight="1" firstPageNumber="1" useFirstPageNumber="1" copies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AC090"/>
  </sheetPr>
  <dimension ref="B2:L12"/>
  <sheetViews>
    <sheetView workbookViewId="0" zoomScale="100" zoomScaleNormal="100" view="normal">
      <selection activeCell="L4" sqref="L4"/>
    </sheetView>
  </sheetViews>
  <sheetFormatPr defaultRowHeight="12.75" outlineLevelRow="0" outlineLevelCol="0" x14ac:dyDescent="0" defaultColWidth="8.54296875" customHeight="1"/>
  <cols>
    <col min="12" max="12" width="64.57" customWidth="1"/>
  </cols>
  <sheetData>
    <row r="2" ht="25.5" customHeight="1" spans="2:12" x14ac:dyDescent="0.25">
      <c r="B2" s="37" t="s">
        <v>33</v>
      </c>
      <c r="C2" s="37"/>
      <c r="D2" s="37"/>
      <c r="E2" s="37"/>
      <c r="F2" s="37"/>
      <c r="G2" s="37"/>
      <c r="H2" s="37"/>
      <c r="I2" s="37"/>
      <c r="J2" s="37"/>
      <c r="K2" s="37"/>
      <c r="L2" s="38" t="s">
        <v>34</v>
      </c>
    </row>
    <row r="3" ht="96.75" customHeight="1" spans="2:12" x14ac:dyDescent="0.25">
      <c r="B3" s="39" t="s">
        <v>35</v>
      </c>
      <c r="C3" s="39"/>
      <c r="D3" s="39"/>
      <c r="E3" s="39"/>
      <c r="F3" s="39"/>
      <c r="G3" s="39"/>
      <c r="H3" s="39"/>
      <c r="I3" s="39"/>
      <c r="J3" s="39"/>
      <c r="K3" s="39"/>
      <c r="L3" s="40"/>
    </row>
    <row r="4" ht="83.25" customHeight="1" spans="2:12" x14ac:dyDescent="0.25">
      <c r="B4" s="41" t="s">
        <v>36</v>
      </c>
      <c r="C4" s="41"/>
      <c r="D4" s="41"/>
      <c r="E4" s="41"/>
      <c r="F4" s="41"/>
      <c r="G4" s="41"/>
      <c r="H4" s="41"/>
      <c r="I4" s="41"/>
      <c r="J4" s="41"/>
      <c r="K4" s="41"/>
      <c r="L4" s="42"/>
    </row>
    <row r="5" ht="81" customHeight="1" spans="2:12" x14ac:dyDescent="0.25">
      <c r="B5" s="39" t="s">
        <v>37</v>
      </c>
      <c r="C5" s="39"/>
      <c r="D5" s="39"/>
      <c r="E5" s="39"/>
      <c r="F5" s="39"/>
      <c r="G5" s="39"/>
      <c r="H5" s="39"/>
      <c r="I5" s="39"/>
      <c r="J5" s="39"/>
      <c r="K5" s="39"/>
      <c r="L5" s="40"/>
    </row>
    <row r="6" ht="36" customHeight="1" spans="2:12" x14ac:dyDescent="0.25">
      <c r="B6" s="41" t="s">
        <v>38</v>
      </c>
      <c r="C6" s="41"/>
      <c r="D6" s="41"/>
      <c r="E6" s="41"/>
      <c r="F6" s="41"/>
      <c r="G6" s="41"/>
      <c r="H6" s="41"/>
      <c r="I6" s="41"/>
      <c r="J6" s="41"/>
      <c r="K6" s="41"/>
      <c r="L6" s="42"/>
    </row>
    <row r="7" ht="48.75" customHeight="1" spans="2:12" x14ac:dyDescent="0.25">
      <c r="B7" s="39" t="s">
        <v>39</v>
      </c>
      <c r="C7" s="39"/>
      <c r="D7" s="39"/>
      <c r="E7" s="39"/>
      <c r="F7" s="39"/>
      <c r="G7" s="39"/>
      <c r="H7" s="39"/>
      <c r="I7" s="39"/>
      <c r="J7" s="39"/>
      <c r="K7" s="39"/>
      <c r="L7" s="40"/>
    </row>
    <row r="8" ht="409.5" customHeight="1" spans="2:12" x14ac:dyDescent="0.25">
      <c r="B8" s="43" t="s">
        <v>40</v>
      </c>
      <c r="C8" s="43"/>
      <c r="D8" s="43"/>
      <c r="E8" s="43"/>
      <c r="F8" s="43"/>
      <c r="G8" s="43"/>
      <c r="H8" s="43"/>
      <c r="I8" s="43"/>
      <c r="J8" s="43"/>
      <c r="K8" s="43"/>
      <c r="L8" s="44"/>
    </row>
    <row r="9" ht="409.5" customHeight="1" spans="2:12" x14ac:dyDescent="0.25">
      <c r="B9" s="43"/>
      <c r="C9" s="43"/>
      <c r="D9" s="43"/>
      <c r="E9" s="43"/>
      <c r="F9" s="43"/>
      <c r="G9" s="43"/>
      <c r="H9" s="43"/>
      <c r="I9" s="43"/>
      <c r="J9" s="43"/>
      <c r="K9" s="43"/>
      <c r="L9" s="44"/>
    </row>
    <row r="10" ht="12.75" customHeight="1" spans="2:11" x14ac:dyDescent="0.25">
      <c r="B10" s="45"/>
      <c r="C10" s="45"/>
      <c r="D10" s="45"/>
      <c r="E10" s="45"/>
      <c r="F10" s="45"/>
      <c r="G10" s="45"/>
      <c r="H10" s="45"/>
      <c r="I10" s="45"/>
      <c r="J10" s="45"/>
      <c r="K10" s="45"/>
    </row>
    <row r="11" ht="12.75" customHeight="1" spans="2:11" x14ac:dyDescent="0.25">
      <c r="B11" s="45"/>
      <c r="C11" s="45"/>
      <c r="D11" s="45"/>
      <c r="E11" s="45"/>
      <c r="F11" s="45"/>
      <c r="G11" s="45"/>
      <c r="H11" s="45"/>
      <c r="I11" s="45"/>
      <c r="J11" s="45"/>
      <c r="K11" s="45"/>
    </row>
    <row r="12" ht="12.75" customHeight="1" spans="2:11" x14ac:dyDescent="0.25">
      <c r="B12" s="45"/>
      <c r="C12" s="45"/>
      <c r="D12" s="45"/>
      <c r="E12" s="45"/>
      <c r="F12" s="45"/>
      <c r="G12" s="45"/>
      <c r="H12" s="45"/>
      <c r="I12" s="45"/>
      <c r="J12" s="45"/>
      <c r="K12" s="45"/>
    </row>
  </sheetData>
  <mergeCells count="8">
    <mergeCell ref="B2:K2"/>
    <mergeCell ref="B3:K3"/>
    <mergeCell ref="B4:K4"/>
    <mergeCell ref="B5:K5"/>
    <mergeCell ref="B6:K6"/>
    <mergeCell ref="B7:K7"/>
    <mergeCell ref="B8:K9"/>
    <mergeCell ref="L8:L9"/>
  </mergeCells>
  <pageMargins left="0.7" right="0.7" top="0.75" bottom="0.75" header="0.511811023622047" footer="0.511811023622047"/>
  <pageSetup paperSize="9" orientation="portrait" horizontalDpi="300" verticalDpi="300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J41"/>
  <sheetViews>
    <sheetView workbookViewId="0" zoomScale="100" zoomScaleNormal="100" view="normal">
      <selection activeCell="D19" sqref="D19"/>
    </sheetView>
  </sheetViews>
  <sheetFormatPr defaultRowHeight="12.75" outlineLevelRow="0" outlineLevelCol="0" x14ac:dyDescent="0" defaultColWidth="8.54296875" customHeight="1"/>
  <cols>
    <col min="1" max="1" width="9.14" style="46" customWidth="1"/>
    <col min="2" max="2" width="34.85" style="47" customWidth="1"/>
    <col min="3" max="3" width="26.42" customWidth="1"/>
    <col min="4" max="4" width="19" customWidth="1"/>
    <col min="5" max="5" width="19.29" style="48" customWidth="1"/>
    <col min="6" max="6" width="19.71" style="49" customWidth="1"/>
    <col min="7" max="9" width="20.71" customWidth="1"/>
    <col min="10" max="10" width="22.15" customWidth="1"/>
  </cols>
  <sheetData>
    <row r="1" ht="13.5" customHeight="1" x14ac:dyDescent="0.25"/>
    <row r="2" ht="22.5" customHeight="1" spans="1:10" x14ac:dyDescent="0.25">
      <c r="A2" s="50" t="s">
        <v>41</v>
      </c>
      <c r="B2" s="50"/>
      <c r="C2" s="50"/>
      <c r="D2" s="50"/>
      <c r="E2" s="51" t="s">
        <v>42</v>
      </c>
      <c r="F2" s="51"/>
      <c r="G2" s="51"/>
      <c r="H2" s="51"/>
      <c r="I2" s="51"/>
      <c r="J2" s="51"/>
    </row>
    <row r="3" ht="70.5" customHeight="1" spans="1:10" x14ac:dyDescent="0.25">
      <c r="A3" s="50" t="s">
        <v>43</v>
      </c>
      <c r="B3" s="52" t="s">
        <v>44</v>
      </c>
      <c r="C3" s="52" t="s">
        <v>45</v>
      </c>
      <c r="D3" s="52" t="s">
        <v>46</v>
      </c>
      <c r="E3" s="53" t="s">
        <v>47</v>
      </c>
      <c r="F3" s="54" t="s">
        <v>48</v>
      </c>
      <c r="G3" s="55" t="s">
        <v>49</v>
      </c>
      <c r="H3" s="55" t="s">
        <v>48</v>
      </c>
      <c r="I3" s="56" t="s">
        <v>50</v>
      </c>
      <c r="J3" s="56" t="s">
        <v>48</v>
      </c>
    </row>
    <row r="4" ht="29.25" customHeight="1" spans="1:10" x14ac:dyDescent="0.25">
      <c r="A4" s="57" t="s">
        <v>51</v>
      </c>
      <c r="B4" s="57"/>
      <c r="C4" s="57"/>
      <c r="D4" s="57"/>
      <c r="E4" s="57"/>
      <c r="F4" s="57"/>
      <c r="G4" s="57"/>
      <c r="H4" s="57"/>
      <c r="I4" s="57"/>
      <c r="J4" s="57"/>
    </row>
    <row r="5" ht="48" customHeight="1" spans="1:10" s="58" customFormat="1" x14ac:dyDescent="0.25">
      <c r="A5" s="59" t="s">
        <v>52</v>
      </c>
      <c r="B5" s="60" t="s">
        <v>53</v>
      </c>
      <c r="C5" s="61"/>
      <c r="D5" s="62" t="s">
        <v>54</v>
      </c>
      <c r="E5" s="63" t="s">
        <v>55</v>
      </c>
      <c r="F5" s="64" t="s">
        <v>56</v>
      </c>
      <c r="G5" s="65"/>
      <c r="H5" s="66"/>
      <c r="I5" s="67"/>
      <c r="J5" s="68"/>
    </row>
    <row r="6" ht="26.25" customHeight="1" spans="1:10" x14ac:dyDescent="0.25">
      <c r="A6" s="69" t="s">
        <v>57</v>
      </c>
      <c r="B6" s="70" t="s">
        <v>58</v>
      </c>
      <c r="C6" s="42"/>
      <c r="D6" s="71"/>
      <c r="E6" s="72"/>
      <c r="F6" s="73"/>
      <c r="G6" s="74"/>
      <c r="H6" s="75"/>
      <c r="I6" s="76"/>
      <c r="J6" s="77"/>
    </row>
    <row r="7" ht="26.25" customHeight="1" spans="1:10" s="58" customFormat="1" x14ac:dyDescent="0.25">
      <c r="A7" s="78" t="s">
        <v>59</v>
      </c>
      <c r="B7" s="79" t="s">
        <v>60</v>
      </c>
      <c r="C7" s="40"/>
      <c r="D7" s="80"/>
      <c r="E7" s="81"/>
      <c r="F7" s="82"/>
      <c r="G7" s="83"/>
      <c r="H7" s="84"/>
      <c r="I7" s="85"/>
      <c r="J7" s="86"/>
    </row>
    <row r="8" ht="26.25" customHeight="1" spans="1:10" x14ac:dyDescent="0.25">
      <c r="A8" s="69" t="s">
        <v>61</v>
      </c>
      <c r="B8" s="70" t="s">
        <v>62</v>
      </c>
      <c r="C8" s="42"/>
      <c r="D8" s="71"/>
      <c r="E8" s="72"/>
      <c r="F8" s="73"/>
      <c r="G8" s="74"/>
      <c r="H8" s="75"/>
      <c r="I8" s="76"/>
      <c r="J8" s="77"/>
    </row>
    <row r="9" ht="39" customHeight="1" spans="1:10" s="58" customFormat="1" x14ac:dyDescent="0.25">
      <c r="A9" s="78" t="s">
        <v>63</v>
      </c>
      <c r="B9" s="79" t="s">
        <v>64</v>
      </c>
      <c r="C9" s="40"/>
      <c r="D9" s="80"/>
      <c r="E9" s="81"/>
      <c r="F9" s="82"/>
      <c r="G9" s="83"/>
      <c r="H9" s="84"/>
      <c r="I9" s="85"/>
      <c r="J9" s="86"/>
    </row>
    <row r="10" ht="39" customHeight="1" spans="1:10" x14ac:dyDescent="0.25">
      <c r="A10" s="69" t="s">
        <v>65</v>
      </c>
      <c r="B10" s="70" t="s">
        <v>66</v>
      </c>
      <c r="C10" s="42"/>
      <c r="D10" s="71"/>
      <c r="E10" s="72"/>
      <c r="F10" s="73"/>
      <c r="G10" s="74"/>
      <c r="H10" s="75"/>
      <c r="I10" s="76"/>
      <c r="J10" s="77"/>
    </row>
    <row r="11" ht="64.5" customHeight="1" spans="1:10" s="58" customFormat="1" x14ac:dyDescent="0.25">
      <c r="A11" s="78" t="s">
        <v>67</v>
      </c>
      <c r="B11" s="79" t="s">
        <v>68</v>
      </c>
      <c r="C11" s="40"/>
      <c r="D11" s="80"/>
      <c r="E11" s="81"/>
      <c r="F11" s="82"/>
      <c r="G11" s="83"/>
      <c r="H11" s="84"/>
      <c r="I11" s="85"/>
      <c r="J11" s="86"/>
    </row>
    <row r="12" ht="64.5" customHeight="1" spans="1:10" x14ac:dyDescent="0.25">
      <c r="A12" s="69" t="s">
        <v>69</v>
      </c>
      <c r="B12" s="70" t="s">
        <v>70</v>
      </c>
      <c r="C12" s="42"/>
      <c r="D12" s="71"/>
      <c r="E12" s="72"/>
      <c r="F12" s="73"/>
      <c r="G12" s="74"/>
      <c r="H12" s="75"/>
      <c r="I12" s="76"/>
      <c r="J12" s="77"/>
    </row>
    <row r="13" ht="77.25" customHeight="1" spans="1:10" s="58" customFormat="1" x14ac:dyDescent="0.25">
      <c r="A13" s="78" t="s">
        <v>71</v>
      </c>
      <c r="B13" s="79" t="s">
        <v>72</v>
      </c>
      <c r="C13" s="40"/>
      <c r="D13" s="80"/>
      <c r="E13" s="81"/>
      <c r="F13" s="82"/>
      <c r="G13" s="83"/>
      <c r="H13" s="84"/>
      <c r="I13" s="85"/>
      <c r="J13" s="86"/>
    </row>
    <row r="14" ht="26.25" customHeight="1" spans="1:10" x14ac:dyDescent="0.25">
      <c r="A14" s="69" t="s">
        <v>73</v>
      </c>
      <c r="B14" s="70" t="s">
        <v>74</v>
      </c>
      <c r="C14" s="42"/>
      <c r="D14" s="71"/>
      <c r="E14" s="72"/>
      <c r="F14" s="73"/>
      <c r="G14" s="74"/>
      <c r="H14" s="75"/>
      <c r="I14" s="76"/>
      <c r="J14" s="77"/>
    </row>
    <row r="15" ht="26.25" customHeight="1" spans="1:10" s="58" customFormat="1" x14ac:dyDescent="0.25">
      <c r="A15" s="78" t="s">
        <v>75</v>
      </c>
      <c r="B15" s="79" t="s">
        <v>76</v>
      </c>
      <c r="C15" s="40"/>
      <c r="D15" s="80"/>
      <c r="E15" s="81"/>
      <c r="F15" s="82"/>
      <c r="G15" s="83"/>
      <c r="H15" s="84"/>
      <c r="I15" s="85"/>
      <c r="J15" s="86"/>
    </row>
    <row r="16" ht="39" customHeight="1" spans="1:10" s="58" customFormat="1" x14ac:dyDescent="0.25">
      <c r="A16" s="69" t="s">
        <v>77</v>
      </c>
      <c r="B16" s="70" t="s">
        <v>78</v>
      </c>
      <c r="C16" s="42"/>
      <c r="D16" s="71"/>
      <c r="E16" s="72"/>
      <c r="F16" s="73"/>
      <c r="G16" s="74"/>
      <c r="H16" s="75"/>
      <c r="I16" s="76"/>
      <c r="J16" s="77"/>
    </row>
    <row r="17" ht="39" customHeight="1" spans="1:10" x14ac:dyDescent="0.25">
      <c r="A17" s="78" t="s">
        <v>79</v>
      </c>
      <c r="B17" s="79" t="s">
        <v>80</v>
      </c>
      <c r="C17" s="40"/>
      <c r="D17" s="80"/>
      <c r="E17" s="81"/>
      <c r="F17" s="82"/>
      <c r="G17" s="83"/>
      <c r="H17" s="84"/>
      <c r="I17" s="85"/>
      <c r="J17" s="86"/>
    </row>
    <row r="18" ht="39" customHeight="1" spans="1:10" x14ac:dyDescent="0.25">
      <c r="A18" s="69" t="s">
        <v>81</v>
      </c>
      <c r="B18" s="70" t="s">
        <v>82</v>
      </c>
      <c r="C18" s="42"/>
      <c r="D18" s="71"/>
      <c r="E18" s="72"/>
      <c r="F18" s="73"/>
      <c r="G18" s="74"/>
      <c r="H18" s="75"/>
      <c r="I18" s="76"/>
      <c r="J18" s="77"/>
    </row>
    <row r="19" ht="39" customHeight="1" spans="1:10" s="58" customFormat="1" x14ac:dyDescent="0.25">
      <c r="A19" s="78" t="s">
        <v>83</v>
      </c>
      <c r="B19" s="79" t="s">
        <v>84</v>
      </c>
      <c r="C19" s="40"/>
      <c r="D19" s="80"/>
      <c r="E19" s="81"/>
      <c r="F19" s="82"/>
      <c r="G19" s="83"/>
      <c r="H19" s="84"/>
      <c r="I19" s="85"/>
      <c r="J19" s="86"/>
    </row>
    <row r="20" ht="18" customHeight="1" spans="1:10" x14ac:dyDescent="0.25">
      <c r="A20" s="87" t="s">
        <v>85</v>
      </c>
      <c r="B20" s="70" t="s">
        <v>86</v>
      </c>
      <c r="C20" s="42"/>
      <c r="D20" s="71"/>
      <c r="E20" s="72"/>
      <c r="F20" s="73"/>
      <c r="G20" s="74"/>
      <c r="H20" s="75"/>
      <c r="I20" s="76"/>
      <c r="J20" s="77"/>
    </row>
    <row r="21" ht="18" customHeight="1" spans="1:10" s="58" customFormat="1" x14ac:dyDescent="0.25">
      <c r="A21" s="78" t="s">
        <v>87</v>
      </c>
      <c r="B21" s="79" t="s">
        <v>88</v>
      </c>
      <c r="C21" s="40"/>
      <c r="D21" s="80"/>
      <c r="E21" s="81"/>
      <c r="F21" s="82"/>
      <c r="G21" s="83"/>
      <c r="H21" s="84"/>
      <c r="I21" s="85"/>
      <c r="J21" s="86"/>
    </row>
    <row r="22" ht="51.75" customHeight="1" spans="1:10" s="58" customFormat="1" x14ac:dyDescent="0.25">
      <c r="A22" s="69" t="s">
        <v>89</v>
      </c>
      <c r="B22" s="70" t="s">
        <v>90</v>
      </c>
      <c r="C22" s="42"/>
      <c r="D22" s="71"/>
      <c r="E22" s="72"/>
      <c r="F22" s="73"/>
      <c r="G22" s="74"/>
      <c r="H22" s="75"/>
      <c r="I22" s="76"/>
      <c r="J22" s="77"/>
    </row>
    <row r="23" ht="18" customHeight="1" spans="1:10" x14ac:dyDescent="0.25">
      <c r="A23" s="69"/>
      <c r="B23" s="70"/>
      <c r="C23" s="42"/>
      <c r="D23" s="71"/>
      <c r="E23" s="72"/>
      <c r="F23" s="73"/>
      <c r="G23" s="74"/>
      <c r="H23" s="75"/>
      <c r="I23" s="76"/>
      <c r="J23" s="77"/>
    </row>
    <row r="24" ht="18" customHeight="1" spans="1:10" s="58" customFormat="1" x14ac:dyDescent="0.25">
      <c r="A24" s="88" t="s">
        <v>91</v>
      </c>
      <c r="B24" s="89"/>
      <c r="C24" s="90"/>
      <c r="D24" s="91"/>
      <c r="E24" s="92"/>
      <c r="F24" s="93"/>
      <c r="G24" s="94"/>
      <c r="H24" s="95"/>
      <c r="I24" s="96"/>
      <c r="J24" s="97"/>
    </row>
    <row r="25" ht="102.75" customHeight="1" spans="1:10" s="58" customFormat="1" x14ac:dyDescent="0.25">
      <c r="A25" s="78" t="s">
        <v>92</v>
      </c>
      <c r="B25" s="79" t="s">
        <v>93</v>
      </c>
      <c r="C25" s="40"/>
      <c r="D25" s="80"/>
      <c r="E25" s="81"/>
      <c r="F25" s="82"/>
      <c r="G25" s="83"/>
      <c r="H25" s="84"/>
      <c r="I25" s="85"/>
      <c r="J25" s="86"/>
    </row>
    <row r="26" ht="26.25" customHeight="1" spans="1:10" x14ac:dyDescent="0.25">
      <c r="A26" s="69" t="s">
        <v>94</v>
      </c>
      <c r="B26" s="70" t="s">
        <v>95</v>
      </c>
      <c r="C26" s="42"/>
      <c r="D26" s="71"/>
      <c r="E26" s="72"/>
      <c r="F26" s="73"/>
      <c r="G26" s="74"/>
      <c r="H26" s="75"/>
      <c r="I26" s="76"/>
      <c r="J26" s="77"/>
    </row>
    <row r="27" ht="51.75" customHeight="1" spans="1:10" s="58" customFormat="1" x14ac:dyDescent="0.25">
      <c r="A27" s="78" t="s">
        <v>96</v>
      </c>
      <c r="B27" s="79" t="s">
        <v>97</v>
      </c>
      <c r="C27" s="40"/>
      <c r="D27" s="80"/>
      <c r="E27" s="81"/>
      <c r="F27" s="82"/>
      <c r="G27" s="83"/>
      <c r="H27" s="84"/>
      <c r="I27" s="85"/>
      <c r="J27" s="86"/>
    </row>
    <row r="28" ht="64.5" customHeight="1" spans="1:10" x14ac:dyDescent="0.25">
      <c r="A28" s="69" t="s">
        <v>98</v>
      </c>
      <c r="B28" s="70" t="s">
        <v>99</v>
      </c>
      <c r="C28" s="42"/>
      <c r="D28" s="71"/>
      <c r="E28" s="72"/>
      <c r="F28" s="73"/>
      <c r="G28" s="74"/>
      <c r="H28" s="75"/>
      <c r="I28" s="76"/>
      <c r="J28" s="77"/>
    </row>
    <row r="29" ht="39" customHeight="1" spans="1:10" s="58" customFormat="1" x14ac:dyDescent="0.25">
      <c r="A29" s="78" t="s">
        <v>100</v>
      </c>
      <c r="B29" s="79" t="s">
        <v>101</v>
      </c>
      <c r="C29" s="40"/>
      <c r="D29" s="80"/>
      <c r="E29" s="81"/>
      <c r="F29" s="82"/>
      <c r="G29" s="83"/>
      <c r="H29" s="84"/>
      <c r="I29" s="85"/>
      <c r="J29" s="86"/>
    </row>
    <row r="30" ht="18" customHeight="1" spans="1:10" x14ac:dyDescent="0.25">
      <c r="A30" s="69" t="s">
        <v>102</v>
      </c>
      <c r="B30" s="70" t="s">
        <v>103</v>
      </c>
      <c r="C30" s="42"/>
      <c r="D30" s="71"/>
      <c r="E30" s="72"/>
      <c r="F30" s="73"/>
      <c r="G30" s="74"/>
      <c r="H30" s="75"/>
      <c r="I30" s="76"/>
      <c r="J30" s="77"/>
    </row>
    <row r="31" ht="51.75" customHeight="1" spans="1:10" s="58" customFormat="1" x14ac:dyDescent="0.25">
      <c r="A31" s="78" t="s">
        <v>104</v>
      </c>
      <c r="B31" s="79" t="s">
        <v>105</v>
      </c>
      <c r="C31" s="40"/>
      <c r="D31" s="80"/>
      <c r="E31" s="81"/>
      <c r="F31" s="82"/>
      <c r="G31" s="83"/>
      <c r="H31" s="84"/>
      <c r="I31" s="85"/>
      <c r="J31" s="86"/>
    </row>
    <row r="32" ht="26.25" customHeight="1" spans="1:10" s="58" customFormat="1" x14ac:dyDescent="0.25">
      <c r="A32" s="69" t="s">
        <v>106</v>
      </c>
      <c r="B32" s="70" t="s">
        <v>107</v>
      </c>
      <c r="C32" s="42"/>
      <c r="D32" s="71"/>
      <c r="E32" s="72"/>
      <c r="F32" s="73"/>
      <c r="G32" s="74"/>
      <c r="H32" s="75"/>
      <c r="I32" s="76"/>
      <c r="J32" s="77"/>
    </row>
    <row r="33" ht="26.25" customHeight="1" spans="1:10" x14ac:dyDescent="0.25">
      <c r="A33" s="78" t="s">
        <v>108</v>
      </c>
      <c r="B33" s="79" t="s">
        <v>109</v>
      </c>
      <c r="C33" s="40"/>
      <c r="D33" s="80"/>
      <c r="E33" s="81"/>
      <c r="F33" s="82"/>
      <c r="G33" s="83"/>
      <c r="H33" s="84"/>
      <c r="I33" s="85"/>
      <c r="J33" s="86"/>
    </row>
    <row r="34" ht="26.25" customHeight="1" spans="1:10" x14ac:dyDescent="0.25">
      <c r="A34" s="69" t="s">
        <v>110</v>
      </c>
      <c r="B34" s="70" t="s">
        <v>111</v>
      </c>
      <c r="C34" s="42"/>
      <c r="D34" s="71"/>
      <c r="E34" s="72"/>
      <c r="F34" s="73"/>
      <c r="G34" s="74"/>
      <c r="H34" s="75"/>
      <c r="I34" s="76"/>
      <c r="J34" s="77"/>
    </row>
    <row r="35" ht="90" customHeight="1" spans="1:10" x14ac:dyDescent="0.25">
      <c r="A35" s="78" t="s">
        <v>112</v>
      </c>
      <c r="B35" s="79" t="s">
        <v>113</v>
      </c>
      <c r="C35" s="40"/>
      <c r="D35" s="80"/>
      <c r="E35" s="81"/>
      <c r="F35" s="82"/>
      <c r="G35" s="83"/>
      <c r="H35" s="84"/>
      <c r="I35" s="85"/>
      <c r="J35" s="86"/>
    </row>
    <row r="36" ht="90" customHeight="1" spans="1:10" x14ac:dyDescent="0.25">
      <c r="A36" s="69" t="s">
        <v>114</v>
      </c>
      <c r="B36" s="70" t="s">
        <v>115</v>
      </c>
      <c r="C36" s="42"/>
      <c r="D36" s="71"/>
      <c r="E36" s="72"/>
      <c r="F36" s="73"/>
      <c r="G36" s="74"/>
      <c r="H36" s="75"/>
      <c r="I36" s="76"/>
      <c r="J36" s="77"/>
    </row>
    <row r="37" ht="26.25" customHeight="1" spans="1:10" x14ac:dyDescent="0.25">
      <c r="A37" s="78" t="s">
        <v>116</v>
      </c>
      <c r="B37" s="79" t="s">
        <v>117</v>
      </c>
      <c r="C37" s="40"/>
      <c r="D37" s="80"/>
      <c r="E37" s="81"/>
      <c r="F37" s="82"/>
      <c r="G37" s="83"/>
      <c r="H37" s="84"/>
      <c r="I37" s="85"/>
      <c r="J37" s="86"/>
    </row>
    <row r="38" ht="90" customHeight="1" spans="1:10" x14ac:dyDescent="0.25">
      <c r="A38" s="69" t="s">
        <v>118</v>
      </c>
      <c r="B38" s="70" t="s">
        <v>119</v>
      </c>
      <c r="C38" s="42"/>
      <c r="D38" s="71"/>
      <c r="E38" s="72"/>
      <c r="F38" s="73"/>
      <c r="G38" s="74"/>
      <c r="H38" s="75"/>
      <c r="I38" s="76"/>
      <c r="J38" s="77"/>
    </row>
    <row r="39" ht="64.5" customHeight="1" spans="1:10" x14ac:dyDescent="0.25">
      <c r="A39" s="98" t="s">
        <v>120</v>
      </c>
      <c r="B39" s="79" t="s">
        <v>121</v>
      </c>
      <c r="C39" s="40"/>
      <c r="D39" s="80"/>
      <c r="E39" s="81"/>
      <c r="F39" s="82"/>
      <c r="G39" s="83"/>
      <c r="H39" s="84"/>
      <c r="I39" s="85"/>
      <c r="J39" s="86"/>
    </row>
    <row r="40" ht="26.25" customHeight="1" spans="1:10" x14ac:dyDescent="0.25">
      <c r="A40" s="69" t="s">
        <v>122</v>
      </c>
      <c r="B40" s="70" t="s">
        <v>123</v>
      </c>
      <c r="C40" s="42"/>
      <c r="D40" s="71"/>
      <c r="E40" s="72"/>
      <c r="F40" s="73"/>
      <c r="G40" s="74"/>
      <c r="H40" s="75"/>
      <c r="I40" s="76"/>
      <c r="J40" s="77"/>
    </row>
    <row r="41" ht="39.75" customHeight="1" spans="1:10" x14ac:dyDescent="0.25">
      <c r="A41" s="99" t="s">
        <v>124</v>
      </c>
      <c r="B41" s="100" t="s">
        <v>125</v>
      </c>
      <c r="C41" s="101"/>
      <c r="D41" s="102"/>
      <c r="E41" s="103"/>
      <c r="F41" s="104"/>
      <c r="G41" s="105"/>
      <c r="H41" s="106"/>
      <c r="I41" s="107"/>
      <c r="J41" s="108"/>
    </row>
  </sheetData>
  <mergeCells count="3">
    <mergeCell ref="A2:D2"/>
    <mergeCell ref="E2:J2"/>
    <mergeCell ref="A4:J4"/>
  </mergeCells>
  <pageMargins left="0.708333333333333" right="0.708333333333333" top="0.747916666666667" bottom="0.747916666666667" header="0.511811023622047" footer="0.511811023622047"/>
  <pageSetup paperSize="9" orientation="landscape" horizontalDpi="300" verticalDpi="300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48576"/>
  <sheetViews>
    <sheetView workbookViewId="0" zoomScale="70" zoomScaleNormal="70" view="normal">
      <selection activeCell="A15" sqref="A15"/>
    </sheetView>
  </sheetViews>
  <sheetFormatPr defaultRowHeight="12.75" outlineLevelRow="0" outlineLevelCol="0" x14ac:dyDescent="0" defaultColWidth="8.54296875" customHeight="1"/>
  <cols>
    <col min="2" max="2" width="8.42" style="109" customWidth="1"/>
    <col min="3" max="3" width="92" style="109" customWidth="1"/>
    <col min="4" max="4" width="13.29" style="109" customWidth="1"/>
    <col min="5" max="5" width="15.85" style="109" customWidth="1"/>
    <col min="6" max="6" width="29.71" style="109" customWidth="1"/>
    <col min="7" max="7" width="29.71" style="110" customWidth="1"/>
    <col min="8" max="8" width="34" customWidth="1"/>
  </cols>
  <sheetData>
    <row r="1" ht="13.5" customHeight="1" spans="4:6" x14ac:dyDescent="0.25">
      <c r="D1" s="111"/>
      <c r="E1" s="111"/>
      <c r="F1" s="111"/>
    </row>
    <row r="2" ht="31.5" customHeight="1" spans="5:7" x14ac:dyDescent="0.25">
      <c r="E2" s="112" t="s">
        <v>126</v>
      </c>
      <c r="F2" s="112"/>
      <c r="G2" s="112"/>
    </row>
    <row r="3" ht="13.5" customHeight="1" spans="2:7" x14ac:dyDescent="0.25">
      <c r="B3" s="113"/>
      <c r="E3" s="114"/>
      <c r="F3" s="114"/>
      <c r="G3" s="114"/>
    </row>
    <row r="4" ht="13.5" customHeight="1" spans="2:7" x14ac:dyDescent="0.25">
      <c r="B4" s="115"/>
      <c r="E4" s="116"/>
      <c r="F4" s="116"/>
      <c r="G4" s="116"/>
    </row>
    <row r="5" ht="13.5" customHeight="1" spans="2:7" x14ac:dyDescent="0.25">
      <c r="B5" s="115"/>
      <c r="E5" s="116"/>
      <c r="F5" s="116"/>
      <c r="G5" s="116"/>
    </row>
    <row r="6" ht="13.5" customHeight="1" spans="2:7" x14ac:dyDescent="0.25">
      <c r="B6" s="117" t="s">
        <v>127</v>
      </c>
      <c r="C6" s="117"/>
      <c r="D6" s="117"/>
      <c r="E6" s="117"/>
      <c r="F6" s="117"/>
      <c r="G6" s="117"/>
    </row>
    <row r="7" ht="27" customHeight="1" spans="3:7" x14ac:dyDescent="0.25">
      <c r="C7" s="118" t="s">
        <v>128</v>
      </c>
      <c r="D7" s="118"/>
      <c r="E7" s="118"/>
      <c r="F7" s="118"/>
      <c r="G7" s="118"/>
    </row>
    <row r="8" ht="22.5" customHeight="1" spans="2:7" x14ac:dyDescent="0.25">
      <c r="B8" s="111"/>
      <c r="C8" s="111"/>
      <c r="D8" s="111"/>
      <c r="E8" s="111"/>
      <c r="F8" s="111"/>
      <c r="G8" s="111"/>
    </row>
    <row r="9" ht="17.25" customHeight="1" spans="2:7" x14ac:dyDescent="0.25">
      <c r="B9" s="119" t="s">
        <v>129</v>
      </c>
      <c r="C9" s="119"/>
      <c r="D9" s="119"/>
      <c r="E9" s="119"/>
      <c r="F9" s="119"/>
      <c r="G9" s="119"/>
    </row>
    <row r="10" ht="13.5" customHeight="1" spans="2:7" x14ac:dyDescent="0.25">
      <c r="B10" s="119" t="s">
        <v>130</v>
      </c>
      <c r="C10" s="119"/>
      <c r="D10" s="119"/>
      <c r="E10" s="119"/>
      <c r="F10" s="119"/>
      <c r="G10" s="119"/>
    </row>
    <row r="11" ht="13.5" customHeight="1" spans="2:7" x14ac:dyDescent="0.25">
      <c r="B11" s="112" t="s">
        <v>131</v>
      </c>
      <c r="C11" s="112"/>
      <c r="D11" s="112"/>
      <c r="E11" s="112"/>
      <c r="F11" s="112"/>
      <c r="G11" s="112"/>
    </row>
    <row r="12" ht="13.5" customHeight="1" spans="2:7" x14ac:dyDescent="0.25">
      <c r="B12" s="120" t="s">
        <v>132</v>
      </c>
      <c r="C12" s="120"/>
      <c r="D12" s="120"/>
      <c r="E12" s="120"/>
      <c r="F12" s="120"/>
      <c r="G12" s="120"/>
    </row>
    <row r="13" ht="13.5" customHeight="1" spans="2:6" x14ac:dyDescent="0.25">
      <c r="B13" s="121"/>
      <c r="C13" s="122"/>
      <c r="D13" s="122"/>
      <c r="E13" s="122"/>
      <c r="F13" s="122"/>
    </row>
    <row r="14" ht="13.5" customHeight="1" spans="2:7" x14ac:dyDescent="0.25">
      <c r="B14" s="113" t="s">
        <v>133</v>
      </c>
      <c r="C14" s="113"/>
      <c r="D14" s="113"/>
      <c r="E14" s="113"/>
      <c r="F14" s="113"/>
      <c r="G14" s="113"/>
    </row>
    <row r="15" ht="39" customHeight="1" spans="2:8" x14ac:dyDescent="0.25">
      <c r="B15" s="123" t="s">
        <v>43</v>
      </c>
      <c r="C15" s="124" t="s">
        <v>134</v>
      </c>
      <c r="D15" s="124" t="s">
        <v>135</v>
      </c>
      <c r="E15" s="124" t="s">
        <v>136</v>
      </c>
      <c r="F15" s="123" t="s">
        <v>137</v>
      </c>
      <c r="G15" s="123" t="s">
        <v>138</v>
      </c>
      <c r="H15" s="123" t="s">
        <v>139</v>
      </c>
    </row>
    <row r="16" ht="15.75" customHeight="1" spans="2:8" x14ac:dyDescent="0.25">
      <c r="B16" s="125">
        <v>1</v>
      </c>
      <c r="C16" s="126" t="s">
        <v>140</v>
      </c>
      <c r="D16" s="127" t="s">
        <v>141</v>
      </c>
      <c r="E16" s="128">
        <f>SUM(E17:E18)</f>
        <v>106.8</v>
      </c>
      <c r="F16" s="129"/>
      <c r="G16" s="130">
        <f>SUM(G17:G18)</f>
        <v>373800</v>
      </c>
      <c r="H16" s="131">
        <v>7</v>
      </c>
    </row>
    <row r="17" ht="18" customHeight="1" spans="2:8" x14ac:dyDescent="0.25">
      <c r="B17" s="125" t="s">
        <v>52</v>
      </c>
      <c r="C17" s="132" t="s">
        <v>142</v>
      </c>
      <c r="D17" s="127" t="s">
        <v>141</v>
      </c>
      <c r="E17" s="133">
        <v>70.2</v>
      </c>
      <c r="F17" s="129">
        <v>3500</v>
      </c>
      <c r="G17" s="134">
        <f>F17*E17</f>
        <v>245700</v>
      </c>
      <c r="H17" s="131"/>
    </row>
    <row r="18" ht="18" customHeight="1" spans="2:8" x14ac:dyDescent="0.25">
      <c r="B18" s="125" t="s">
        <v>57</v>
      </c>
      <c r="C18" s="132" t="s">
        <v>143</v>
      </c>
      <c r="D18" s="127" t="s">
        <v>141</v>
      </c>
      <c r="E18" s="133">
        <v>36.6</v>
      </c>
      <c r="F18" s="129">
        <v>3500</v>
      </c>
      <c r="G18" s="134">
        <f>F18*E18</f>
        <v>128100</v>
      </c>
      <c r="H18" s="131"/>
    </row>
    <row r="19" ht="15.75" customHeight="1" spans="2:8" x14ac:dyDescent="0.25">
      <c r="B19" s="125">
        <v>2</v>
      </c>
      <c r="C19" s="126" t="s">
        <v>144</v>
      </c>
      <c r="D19" s="127" t="s">
        <v>141</v>
      </c>
      <c r="E19" s="128">
        <f>SUM(E20:E21)</f>
        <v>106.8</v>
      </c>
      <c r="F19" s="129"/>
      <c r="G19" s="130">
        <f>SUM(G20:G21)</f>
        <v>373800</v>
      </c>
      <c r="H19" s="131">
        <v>7</v>
      </c>
    </row>
    <row r="20" ht="18" customHeight="1" spans="2:8" x14ac:dyDescent="0.25">
      <c r="B20" s="125" t="s">
        <v>92</v>
      </c>
      <c r="C20" s="132" t="s">
        <v>145</v>
      </c>
      <c r="D20" s="127" t="s">
        <v>141</v>
      </c>
      <c r="E20" s="133">
        <v>70.2</v>
      </c>
      <c r="F20" s="129">
        <v>3500</v>
      </c>
      <c r="G20" s="134">
        <f>F20*E20</f>
        <v>245700</v>
      </c>
      <c r="H20" s="131"/>
    </row>
    <row r="21" ht="18" customHeight="1" spans="2:8" x14ac:dyDescent="0.25">
      <c r="B21" s="125" t="s">
        <v>94</v>
      </c>
      <c r="C21" s="132" t="s">
        <v>146</v>
      </c>
      <c r="D21" s="127" t="s">
        <v>141</v>
      </c>
      <c r="E21" s="133">
        <v>36.6</v>
      </c>
      <c r="F21" s="129">
        <v>3500</v>
      </c>
      <c r="G21" s="134">
        <f>F21*E21</f>
        <v>128100</v>
      </c>
      <c r="H21" s="131"/>
    </row>
    <row r="22" ht="15.75" customHeight="1" spans="2:8" x14ac:dyDescent="0.25">
      <c r="B22" s="125">
        <v>3</v>
      </c>
      <c r="C22" s="126" t="s">
        <v>147</v>
      </c>
      <c r="D22" s="127" t="s">
        <v>141</v>
      </c>
      <c r="E22" s="128">
        <f>SUM(E23:E24)</f>
        <v>213.5</v>
      </c>
      <c r="F22" s="129"/>
      <c r="G22" s="130">
        <f>SUM(G23:G24)</f>
        <v>747250</v>
      </c>
      <c r="H22" s="131">
        <v>14</v>
      </c>
    </row>
    <row r="23" ht="18" customHeight="1" spans="2:8" x14ac:dyDescent="0.25">
      <c r="B23" s="125" t="s">
        <v>148</v>
      </c>
      <c r="C23" s="132" t="s">
        <v>149</v>
      </c>
      <c r="D23" s="127" t="s">
        <v>141</v>
      </c>
      <c r="E23" s="133">
        <v>140.3</v>
      </c>
      <c r="F23" s="129">
        <v>3500</v>
      </c>
      <c r="G23" s="134">
        <f>F23*E23</f>
        <v>491050</v>
      </c>
      <c r="H23" s="131"/>
    </row>
    <row r="24" ht="18" customHeight="1" spans="2:8" x14ac:dyDescent="0.25">
      <c r="B24" s="125" t="s">
        <v>150</v>
      </c>
      <c r="C24" s="132" t="s">
        <v>151</v>
      </c>
      <c r="D24" s="127" t="s">
        <v>141</v>
      </c>
      <c r="E24" s="133">
        <v>73.2</v>
      </c>
      <c r="F24" s="129">
        <v>3500</v>
      </c>
      <c r="G24" s="134">
        <f>F24*E24</f>
        <v>256200</v>
      </c>
      <c r="H24" s="131"/>
    </row>
    <row r="25" ht="15.75" customHeight="1" spans="2:8" x14ac:dyDescent="0.25">
      <c r="B25" s="125">
        <v>4</v>
      </c>
      <c r="C25" s="126" t="s">
        <v>152</v>
      </c>
      <c r="D25" s="127" t="s">
        <v>141</v>
      </c>
      <c r="E25" s="128">
        <f>SUM(E26:E28)</f>
        <v>1281.3</v>
      </c>
      <c r="F25" s="129"/>
      <c r="G25" s="130">
        <f>SUM(G26:G28)</f>
        <v>4484550</v>
      </c>
      <c r="H25" s="131">
        <v>84</v>
      </c>
    </row>
    <row r="26" ht="18" customHeight="1" spans="2:8" x14ac:dyDescent="0.25">
      <c r="B26" s="125" t="s">
        <v>153</v>
      </c>
      <c r="C26" s="132" t="s">
        <v>154</v>
      </c>
      <c r="D26" s="127" t="s">
        <v>141</v>
      </c>
      <c r="E26" s="133">
        <v>533.8</v>
      </c>
      <c r="F26" s="129">
        <v>3500</v>
      </c>
      <c r="G26" s="134">
        <f>F26*E26</f>
        <v>1868300</v>
      </c>
      <c r="H26" s="131"/>
    </row>
    <row r="27" ht="18" customHeight="1" spans="2:8" x14ac:dyDescent="0.25">
      <c r="B27" s="125" t="s">
        <v>155</v>
      </c>
      <c r="C27" s="132" t="s">
        <v>156</v>
      </c>
      <c r="D27" s="127" t="s">
        <v>141</v>
      </c>
      <c r="E27" s="133">
        <v>426.9</v>
      </c>
      <c r="F27" s="129">
        <v>3500</v>
      </c>
      <c r="G27" s="134">
        <f>F27*E27</f>
        <v>1494150</v>
      </c>
      <c r="H27" s="131"/>
    </row>
    <row r="28" ht="18" customHeight="1" spans="2:8" x14ac:dyDescent="0.25">
      <c r="B28" s="125" t="s">
        <v>157</v>
      </c>
      <c r="C28" s="132" t="s">
        <v>158</v>
      </c>
      <c r="D28" s="127" t="s">
        <v>141</v>
      </c>
      <c r="E28" s="133">
        <v>320.6</v>
      </c>
      <c r="F28" s="129">
        <v>3500</v>
      </c>
      <c r="G28" s="134">
        <f>F28*E28</f>
        <v>1122100</v>
      </c>
      <c r="H28" s="131"/>
    </row>
    <row r="29" ht="15.75" customHeight="1" spans="2:8" x14ac:dyDescent="0.25">
      <c r="B29" s="125">
        <v>5</v>
      </c>
      <c r="C29" s="126" t="s">
        <v>159</v>
      </c>
      <c r="D29" s="127" t="s">
        <v>141</v>
      </c>
      <c r="E29" s="128">
        <f>SUM(E30:E31)</f>
        <v>106.8</v>
      </c>
      <c r="F29" s="129"/>
      <c r="G29" s="130">
        <f>SUM(G30:G31)</f>
        <v>373800</v>
      </c>
      <c r="H29" s="131">
        <v>7</v>
      </c>
    </row>
    <row r="30" ht="18" customHeight="1" spans="2:8" x14ac:dyDescent="0.25">
      <c r="B30" s="125" t="s">
        <v>160</v>
      </c>
      <c r="C30" s="132" t="s">
        <v>161</v>
      </c>
      <c r="D30" s="127" t="s">
        <v>141</v>
      </c>
      <c r="E30" s="133">
        <v>70.2</v>
      </c>
      <c r="F30" s="129">
        <v>3500</v>
      </c>
      <c r="G30" s="134">
        <f>F30*E30</f>
        <v>245700</v>
      </c>
      <c r="H30" s="131"/>
    </row>
    <row r="31" ht="18" customHeight="1" spans="2:8" x14ac:dyDescent="0.25">
      <c r="B31" s="125" t="s">
        <v>162</v>
      </c>
      <c r="C31" s="132" t="s">
        <v>163</v>
      </c>
      <c r="D31" s="127" t="s">
        <v>141</v>
      </c>
      <c r="E31" s="133">
        <v>36.6</v>
      </c>
      <c r="F31" s="129">
        <v>3500</v>
      </c>
      <c r="G31" s="134">
        <f>F31*E31</f>
        <v>128100</v>
      </c>
      <c r="H31" s="131"/>
    </row>
    <row r="32" ht="15.75" customHeight="1" spans="2:8" x14ac:dyDescent="0.25">
      <c r="B32" s="125">
        <v>6</v>
      </c>
      <c r="C32" s="126" t="s">
        <v>164</v>
      </c>
      <c r="D32" s="127" t="s">
        <v>141</v>
      </c>
      <c r="E32" s="128">
        <f>SUM(E33:E34)</f>
        <v>106.8</v>
      </c>
      <c r="F32" s="129"/>
      <c r="G32" s="130">
        <f>SUM(G33:G34)</f>
        <v>373800</v>
      </c>
      <c r="H32" s="131">
        <v>7</v>
      </c>
    </row>
    <row r="33" ht="18" customHeight="1" spans="2:8" x14ac:dyDescent="0.25">
      <c r="B33" s="125" t="s">
        <v>165</v>
      </c>
      <c r="C33" s="132" t="s">
        <v>166</v>
      </c>
      <c r="D33" s="127" t="s">
        <v>141</v>
      </c>
      <c r="E33" s="133">
        <v>70.2</v>
      </c>
      <c r="F33" s="129">
        <v>3500</v>
      </c>
      <c r="G33" s="134">
        <f>F33*E33</f>
        <v>245700</v>
      </c>
      <c r="H33" s="131"/>
    </row>
    <row r="34" ht="18" customHeight="1" spans="2:8" x14ac:dyDescent="0.25">
      <c r="B34" s="125" t="s">
        <v>167</v>
      </c>
      <c r="C34" s="132" t="s">
        <v>168</v>
      </c>
      <c r="D34" s="127" t="s">
        <v>141</v>
      </c>
      <c r="E34" s="133">
        <v>36.6</v>
      </c>
      <c r="F34" s="129">
        <v>3500</v>
      </c>
      <c r="G34" s="134">
        <f>F34*E34</f>
        <v>128100</v>
      </c>
      <c r="H34" s="131"/>
    </row>
    <row r="35" ht="15.75" customHeight="1" spans="2:8" x14ac:dyDescent="0.25">
      <c r="B35" s="125">
        <v>7</v>
      </c>
      <c r="C35" s="126" t="s">
        <v>169</v>
      </c>
      <c r="D35" s="127" t="s">
        <v>141</v>
      </c>
      <c r="E35" s="128">
        <f>SUM(E36:E37)</f>
        <v>61</v>
      </c>
      <c r="F35" s="129"/>
      <c r="G35" s="130">
        <f>SUM(G36:G37)</f>
        <v>213500</v>
      </c>
      <c r="H35" s="131">
        <v>4</v>
      </c>
    </row>
    <row r="36" ht="18" customHeight="1" spans="2:8" x14ac:dyDescent="0.25">
      <c r="B36" s="125" t="s">
        <v>170</v>
      </c>
      <c r="C36" s="132" t="s">
        <v>171</v>
      </c>
      <c r="D36" s="127" t="s">
        <v>141</v>
      </c>
      <c r="E36" s="133">
        <v>39.1</v>
      </c>
      <c r="F36" s="129">
        <v>3500</v>
      </c>
      <c r="G36" s="134">
        <f>F36*E36</f>
        <v>136850</v>
      </c>
      <c r="H36" s="131"/>
    </row>
    <row r="37" ht="18" customHeight="1" spans="2:8" x14ac:dyDescent="0.25">
      <c r="B37" s="125" t="s">
        <v>172</v>
      </c>
      <c r="C37" s="132" t="s">
        <v>173</v>
      </c>
      <c r="D37" s="127" t="s">
        <v>141</v>
      </c>
      <c r="E37" s="133">
        <v>21.9</v>
      </c>
      <c r="F37" s="129">
        <v>3500</v>
      </c>
      <c r="G37" s="134">
        <f>F37*E37</f>
        <v>76650</v>
      </c>
      <c r="H37" s="131"/>
    </row>
    <row r="38" ht="15.75" customHeight="1" spans="2:8" x14ac:dyDescent="0.25">
      <c r="B38" s="125">
        <v>8</v>
      </c>
      <c r="C38" s="126" t="s">
        <v>174</v>
      </c>
      <c r="D38" s="127" t="s">
        <v>141</v>
      </c>
      <c r="E38" s="128">
        <f>SUM(E39:E40)</f>
        <v>45.571429</v>
      </c>
      <c r="F38" s="129"/>
      <c r="G38" s="130">
        <f>SUM(G39:G40)</f>
        <v>159500</v>
      </c>
      <c r="H38" s="131">
        <v>3</v>
      </c>
    </row>
    <row r="39" ht="18" customHeight="1" spans="2:8" x14ac:dyDescent="0.25">
      <c r="B39" s="125" t="s">
        <v>175</v>
      </c>
      <c r="C39" s="132" t="s">
        <v>176</v>
      </c>
      <c r="D39" s="127" t="s">
        <v>141</v>
      </c>
      <c r="E39" s="133">
        <v>27.5</v>
      </c>
      <c r="F39" s="129">
        <v>3500</v>
      </c>
      <c r="G39" s="134">
        <f>F39*E39</f>
        <v>96250</v>
      </c>
      <c r="H39" s="131"/>
    </row>
    <row r="40" ht="18" customHeight="1" spans="2:8" x14ac:dyDescent="0.25">
      <c r="B40" s="125" t="s">
        <v>177</v>
      </c>
      <c r="C40" s="132" t="s">
        <v>178</v>
      </c>
      <c r="D40" s="127" t="s">
        <v>141</v>
      </c>
      <c r="E40" s="133">
        <v>18.071429</v>
      </c>
      <c r="F40" s="129">
        <v>3500</v>
      </c>
      <c r="G40" s="134">
        <f>F40*E40</f>
        <v>63250</v>
      </c>
      <c r="H40" s="131"/>
    </row>
    <row r="41" ht="15.75" customHeight="1" spans="2:7" x14ac:dyDescent="0.25">
      <c r="B41" s="135"/>
      <c r="C41" s="136" t="s">
        <v>179</v>
      </c>
      <c r="D41" s="137"/>
      <c r="E41" s="133">
        <f>E25+E29+E32+E35+E38+E22+E19+E16</f>
        <v>2028.571429</v>
      </c>
      <c r="F41" s="138"/>
      <c r="G41" s="139">
        <f>+G25+G29+G32+G35+G38+G22+G19+G16</f>
        <v>7100000</v>
      </c>
    </row>
    <row r="42" ht="15.75" customHeight="1" x14ac:dyDescent="0.25"/>
    <row r="43" ht="27" customHeight="1" spans="2:7" x14ac:dyDescent="0.25">
      <c r="B43" s="140" t="s">
        <v>180</v>
      </c>
      <c r="C43" s="140"/>
      <c r="D43" s="140"/>
      <c r="E43" s="140"/>
      <c r="F43" s="140"/>
      <c r="G43" s="140"/>
    </row>
    <row r="44" ht="33" customHeight="1" spans="2:7" x14ac:dyDescent="0.25">
      <c r="B44" s="141" t="s">
        <v>181</v>
      </c>
      <c r="C44" s="142" t="s">
        <v>182</v>
      </c>
      <c r="D44" s="143" t="s">
        <v>183</v>
      </c>
      <c r="E44" s="143"/>
      <c r="F44" s="142" t="s">
        <v>184</v>
      </c>
      <c r="G44" s="142"/>
    </row>
    <row r="45" ht="36" customHeight="1" spans="2:7" x14ac:dyDescent="0.25">
      <c r="B45" s="144">
        <v>1</v>
      </c>
      <c r="C45" s="145" t="s">
        <v>185</v>
      </c>
      <c r="D45" s="146" t="s">
        <v>186</v>
      </c>
      <c r="E45" s="146"/>
      <c r="F45" s="147" t="s">
        <v>187</v>
      </c>
      <c r="G45" s="147"/>
    </row>
    <row r="46" ht="36" customHeight="1" spans="2:7" x14ac:dyDescent="0.25">
      <c r="B46" s="144">
        <v>2</v>
      </c>
      <c r="C46" s="145" t="s">
        <v>188</v>
      </c>
      <c r="D46" s="146" t="s">
        <v>189</v>
      </c>
      <c r="E46" s="146"/>
      <c r="F46" s="147" t="s">
        <v>190</v>
      </c>
      <c r="G46" s="147"/>
    </row>
    <row r="47" ht="104.25" customHeight="1" spans="2:7" x14ac:dyDescent="0.25">
      <c r="B47" s="144">
        <v>4</v>
      </c>
      <c r="C47" s="145" t="s">
        <v>191</v>
      </c>
      <c r="D47" s="146" t="s">
        <v>189</v>
      </c>
      <c r="E47" s="146"/>
      <c r="F47" s="148" t="s">
        <v>192</v>
      </c>
      <c r="G47" s="148"/>
    </row>
    <row r="48" ht="49.5" customHeight="1" spans="2:7" x14ac:dyDescent="0.25">
      <c r="B48" s="144">
        <v>5</v>
      </c>
      <c r="C48" s="149" t="s">
        <v>193</v>
      </c>
      <c r="D48" s="146" t="s">
        <v>189</v>
      </c>
      <c r="E48" s="146"/>
      <c r="F48" s="148" t="s">
        <v>194</v>
      </c>
      <c r="G48" s="148"/>
    </row>
    <row r="49" ht="49.5" customHeight="1" spans="2:7" x14ac:dyDescent="0.25">
      <c r="B49" s="144">
        <v>6</v>
      </c>
      <c r="C49" s="149" t="s">
        <v>195</v>
      </c>
      <c r="D49" s="146" t="s">
        <v>189</v>
      </c>
      <c r="E49" s="146"/>
      <c r="F49" s="148" t="s">
        <v>194</v>
      </c>
      <c r="G49" s="148"/>
    </row>
    <row r="50" ht="45" customHeight="1" spans="2:7" x14ac:dyDescent="0.25">
      <c r="B50" s="144">
        <v>7</v>
      </c>
      <c r="C50" s="145" t="s">
        <v>196</v>
      </c>
      <c r="D50" s="146" t="s">
        <v>189</v>
      </c>
      <c r="E50" s="146"/>
      <c r="F50" s="148" t="s">
        <v>194</v>
      </c>
      <c r="G50" s="148"/>
    </row>
    <row r="51" ht="30" customHeight="1" spans="2:7" x14ac:dyDescent="0.25">
      <c r="B51" s="144">
        <v>8</v>
      </c>
      <c r="C51" s="145" t="s">
        <v>197</v>
      </c>
      <c r="D51" s="146" t="s">
        <v>189</v>
      </c>
      <c r="E51" s="146"/>
      <c r="F51" s="148" t="s">
        <v>194</v>
      </c>
      <c r="G51" s="148"/>
    </row>
    <row r="52" ht="30" customHeight="1" spans="2:7" x14ac:dyDescent="0.25">
      <c r="B52" s="144">
        <v>9</v>
      </c>
      <c r="C52" s="145" t="s">
        <v>198</v>
      </c>
      <c r="D52" s="146" t="s">
        <v>189</v>
      </c>
      <c r="E52" s="146"/>
      <c r="F52" s="148" t="s">
        <v>194</v>
      </c>
      <c r="G52" s="148"/>
    </row>
    <row r="53" ht="42" customHeight="1" spans="2:7" x14ac:dyDescent="0.25">
      <c r="B53" s="144">
        <v>10</v>
      </c>
      <c r="C53" s="145" t="s">
        <v>199</v>
      </c>
      <c r="D53" s="144" t="s">
        <v>200</v>
      </c>
      <c r="E53" s="144"/>
      <c r="F53" s="148"/>
      <c r="G53" s="148"/>
    </row>
    <row r="54" ht="42" customHeight="1" spans="2:7" x14ac:dyDescent="0.25">
      <c r="B54" s="150"/>
      <c r="C54" s="151"/>
      <c r="D54" s="150"/>
      <c r="E54" s="150"/>
      <c r="F54" s="152"/>
      <c r="G54" s="152"/>
    </row>
    <row r="55" ht="15.75" customHeight="1" spans="2:7" x14ac:dyDescent="0.25">
      <c r="B55" s="153" t="s">
        <v>201</v>
      </c>
      <c r="C55" s="153"/>
      <c r="D55" s="154" t="s">
        <v>202</v>
      </c>
      <c r="E55" s="154"/>
      <c r="F55" s="154"/>
      <c r="G55" s="155"/>
    </row>
    <row r="56" ht="15.75" customHeight="1" spans="2:7" x14ac:dyDescent="0.25">
      <c r="B56" s="153"/>
      <c r="C56" s="156"/>
      <c r="D56" s="156"/>
      <c r="E56" s="156"/>
      <c r="F56" s="156"/>
      <c r="G56" s="155"/>
    </row>
    <row r="57" ht="15.75" customHeight="1" spans="2:7" x14ac:dyDescent="0.25">
      <c r="B57" s="153"/>
      <c r="C57" s="153" t="s">
        <v>203</v>
      </c>
      <c r="D57" s="156"/>
      <c r="E57" s="156"/>
      <c r="F57" s="156"/>
      <c r="G57" s="155"/>
    </row>
    <row r="58" ht="15.75" customHeight="1" x14ac:dyDescent="0.25"/>
    <row r="59" ht="24" customHeight="1" x14ac:dyDescent="0.25"/>
    <row r="60" ht="24" customHeight="1" x14ac:dyDescent="0.25"/>
    <row r="61" ht="24" customHeight="1" x14ac:dyDescent="0.25"/>
    <row r="62" ht="24" customHeight="1" x14ac:dyDescent="0.25"/>
    <row r="63" ht="24" customHeight="1" x14ac:dyDescent="0.25"/>
    <row r="64" ht="24" customHeight="1" x14ac:dyDescent="0.25"/>
    <row r="65" ht="24" customHeight="1" x14ac:dyDescent="0.25"/>
    <row r="66" ht="24" customHeight="1" x14ac:dyDescent="0.25"/>
    <row r="67" ht="24" customHeight="1" x14ac:dyDescent="0.25"/>
    <row r="68" ht="24" customHeight="1" x14ac:dyDescent="0.25"/>
    <row r="69" ht="36" customHeight="1" x14ac:dyDescent="0.25"/>
    <row r="70" ht="28.5" customHeight="1" x14ac:dyDescent="0.25"/>
    <row r="71" ht="24" customHeight="1" x14ac:dyDescent="0.25"/>
    <row r="72" ht="24" customHeight="1" x14ac:dyDescent="0.25"/>
    <row r="73" ht="24" customHeight="1" x14ac:dyDescent="0.25"/>
    <row r="74" ht="24" customHeight="1" x14ac:dyDescent="0.25"/>
    <row r="75" ht="24" customHeight="1" x14ac:dyDescent="0.25"/>
    <row r="76" ht="24" customHeight="1" x14ac:dyDescent="0.25"/>
    <row r="77" ht="24" customHeight="1" x14ac:dyDescent="0.25"/>
    <row r="78" ht="24" customHeight="1" x14ac:dyDescent="0.25"/>
    <row r="79" ht="24" customHeight="1" x14ac:dyDescent="0.25"/>
    <row r="80" ht="24" customHeight="1" x14ac:dyDescent="0.25"/>
    <row r="81" ht="24" customHeight="1" x14ac:dyDescent="0.25"/>
    <row r="82" ht="44.25" customHeight="1" x14ac:dyDescent="0.25"/>
    <row r="83" ht="30" customHeight="1" x14ac:dyDescent="0.25"/>
    <row r="84" ht="24" customHeight="1" x14ac:dyDescent="0.25"/>
    <row r="85" ht="24" customHeight="1" x14ac:dyDescent="0.25"/>
    <row r="86" ht="24" customHeight="1" x14ac:dyDescent="0.25"/>
    <row r="87" ht="24" customHeight="1" x14ac:dyDescent="0.25"/>
    <row r="88" ht="24" customHeight="1" x14ac:dyDescent="0.25"/>
    <row r="89" ht="24" customHeight="1" x14ac:dyDescent="0.25"/>
    <row r="90" ht="24" customHeight="1" x14ac:dyDescent="0.25"/>
    <row r="91" ht="24" customHeight="1" x14ac:dyDescent="0.25"/>
    <row r="92" ht="34.5" customHeight="1" x14ac:dyDescent="0.25"/>
    <row r="93" ht="24" customHeight="1" x14ac:dyDescent="0.25"/>
    <row r="94" ht="24" customHeight="1" x14ac:dyDescent="0.25"/>
    <row r="95" ht="24.75" customHeight="1" x14ac:dyDescent="0.25"/>
    <row r="1048573" ht="12.8" customHeight="1" x14ac:dyDescent="0.25"/>
    <row r="1048574" ht="12.8" customHeight="1" x14ac:dyDescent="0.25"/>
    <row r="1048575" ht="12.8" customHeight="1" x14ac:dyDescent="0.25"/>
    <row r="1048576" ht="12.8" customHeight="1" x14ac:dyDescent="0.25"/>
  </sheetData>
  <mergeCells count="36">
    <mergeCell ref="D1:F1"/>
    <mergeCell ref="E2:G2"/>
    <mergeCell ref="E3:G3"/>
    <mergeCell ref="E4:G4"/>
    <mergeCell ref="E5:G5"/>
    <mergeCell ref="B6:G6"/>
    <mergeCell ref="C7:G7"/>
    <mergeCell ref="B8:G8"/>
    <mergeCell ref="B9:G9"/>
    <mergeCell ref="B10:G10"/>
    <mergeCell ref="B11:G11"/>
    <mergeCell ref="B12:G12"/>
    <mergeCell ref="B14:G14"/>
    <mergeCell ref="B43:G43"/>
    <mergeCell ref="D44:E44"/>
    <mergeCell ref="F44:G44"/>
    <mergeCell ref="D45:E45"/>
    <mergeCell ref="F45:G45"/>
    <mergeCell ref="D46:E46"/>
    <mergeCell ref="F46:G46"/>
    <mergeCell ref="D47:E47"/>
    <mergeCell ref="F47:G47"/>
    <mergeCell ref="D48:E48"/>
    <mergeCell ref="F48:G48"/>
    <mergeCell ref="D49:E49"/>
    <mergeCell ref="F49:G49"/>
    <mergeCell ref="D50:E50"/>
    <mergeCell ref="F50:G50"/>
    <mergeCell ref="D51:E51"/>
    <mergeCell ref="F51:G51"/>
    <mergeCell ref="D52:E52"/>
    <mergeCell ref="F52:G52"/>
    <mergeCell ref="D53:E53"/>
    <mergeCell ref="F53:G53"/>
    <mergeCell ref="B55:C55"/>
    <mergeCell ref="E55:F55"/>
  </mergeCells>
  <pageMargins left="0.7" right="0.7" top="0.75" bottom="0.75" header="0.511811023622047" footer="0.511811023622047"/>
  <pageSetup paperSize="9" orientation="portrait" horizontalDpi="300" verticalDpi="300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Титульный лист</vt:lpstr>
      <vt:lpstr>Комментарии сторон</vt:lpstr>
      <vt:lpstr>Этапы реализации</vt:lpstr>
      <vt:lpstr> Приложение №1.1. к ТКП</vt:lpstr>
    </vt:vector>
  </TitlesOfParts>
  <Company>ERCOSPLAN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FLS2@FLSMIDTH.COM</dc:creator>
  <dc:title/>
  <dc:subject/>
  <dc:description/>
  <dc:language>ru-RU</dc:language>
  <cp:lastModifiedBy>Unknown</cp:lastModifiedBy>
  <cp:lastPrinted>2022-11-30T06:08:33Z</cp:lastPrinted>
  <cp:revision>3</cp:revision>
  <dcterms:created xsi:type="dcterms:W3CDTF">2008-11-05T14:32:45Z</dcterms:created>
  <dcterms:modified xsi:type="dcterms:W3CDTF">2026-08-06T17:19:57Z</dcterms:modified>
</cp:coreProperties>
</file>