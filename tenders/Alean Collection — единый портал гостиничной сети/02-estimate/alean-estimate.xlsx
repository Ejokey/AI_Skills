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Трудозатраты" sheetId="2" state="visible" r:id="rId4"/>
    <sheet name="Сводка" sheetId="3" state="visible" r:id="rId5"/>
    <sheet name="Сро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<sst xmlns="http://schemas.openxmlformats.org/spreadsheetml/2006/main" count="273" uniqueCount="234">
  <si>
    <t xml:space="preserve">Параметры расчёта</t>
  </si>
  <si>
    <t xml:space="preserve">Портал Alean Collection · оценка трудозатрат</t>
  </si>
  <si>
    <t xml:space="preserve">Жёлтые ячейки — поля для заполнения. Ставки указаны ориентировочно, замените на свои.</t>
  </si>
  <si>
    <t xml:space="preserve">Роль</t>
  </si>
  <si>
    <t xml:space="preserve">Ставка, ₽/час</t>
  </si>
  <si>
    <t xml:space="preserve">Руководитель проекта</t>
  </si>
  <si>
    <t xml:space="preserve">Аналитик</t>
  </si>
  <si>
    <t xml:space="preserve">UX/UI-дизайнер</t>
  </si>
  <si>
    <t xml:space="preserve">Арт-директор</t>
  </si>
  <si>
    <t xml:space="preserve">Технический лид</t>
  </si>
  <si>
    <t xml:space="preserve">Frontend (Next.js)</t>
  </si>
  <si>
    <t xml:space="preserve">Разработчик Битрикс</t>
  </si>
  <si>
    <t xml:space="preserve">DevOps-инженер</t>
  </si>
  <si>
    <t xml:space="preserve">QA-инженер</t>
  </si>
  <si>
    <t xml:space="preserve">SEO-специалист</t>
  </si>
  <si>
    <t xml:space="preserve">Контент-менеджер</t>
  </si>
  <si>
    <t xml:space="preserve">Часов в человеко-месяце</t>
  </si>
  <si>
    <t xml:space="preserve">Надбавка за параллелизацию работ</t>
  </si>
  <si>
    <t xml:space="preserve">Координационные издержки сжатого графика</t>
  </si>
  <si>
    <t xml:space="preserve">Резерв на риски</t>
  </si>
  <si>
    <t xml:space="preserve">Неопределённость объёма миграции и доработок по итогам этапа 1</t>
  </si>
  <si>
    <t xml:space="preserve">Допущения</t>
  </si>
  <si>
    <t xml:space="preserve">•  Оценка построена на открытых данных 10 сайтов до получения доступа к базе и админке.</t>
  </si>
  <si>
    <t xml:space="preserve">•  Учтено, что все 10 сайтов работают на одном шаблоне Битрикса — миграция скриптуема.</t>
  </si>
  <si>
    <t xml:space="preserve">•  Библиотека блоков — 28 позиций, типов страниц — 17 (desktop + mobile).</t>
  </si>
  <si>
    <t xml:space="preserve">•  Бронирование остаётся в TravelLine; разработка платёжного контура не входит в объём.</t>
  </si>
  <si>
    <t xml:space="preserve">•  Личный кабинет и программа лояльности в объём «Запуск» не входят (см. вопрос 6 в концепции).</t>
  </si>
  <si>
    <t xml:space="preserve">•  Контент мигрируется с текущих сайтов; создание нового контента не входит в объём.</t>
  </si>
  <si>
    <t xml:space="preserve">•  Ставки в таблице выше — плейсхолдеры, подлежат замене.</t>
  </si>
  <si>
    <t xml:space="preserve">Оценка трудозатрат по работам</t>
  </si>
  <si>
    <t xml:space="preserve">Часы по ролям. Стоимость рассчитывается автоматически по ставкам с листа «Параметры».</t>
  </si>
  <si>
    <t xml:space="preserve">Ставка, ₽/час →</t>
  </si>
  <si>
    <t xml:space="preserve">ID</t>
  </si>
  <si>
    <t xml:space="preserve">Работа</t>
  </si>
  <si>
    <t xml:space="preserve">Итого часов</t>
  </si>
  <si>
    <t xml:space="preserve">Стоимость</t>
  </si>
  <si>
    <t xml:space="preserve">ЭТАП 1. АНАЛИТИКА И ДИЗАЙН</t>
  </si>
  <si>
    <t xml:space="preserve">1.1</t>
  </si>
  <si>
    <t xml:space="preserve">Инвентаризация и аудит 10 действующих сайтов</t>
  </si>
  <si>
    <t xml:space="preserve">1.2</t>
  </si>
  <si>
    <t xml:space="preserve">Воркшопы с заказчиком, уточнение требований</t>
  </si>
  <si>
    <t xml:space="preserve">1.3</t>
  </si>
  <si>
    <t xml:space="preserve">Детальное техническое задание на разработку</t>
  </si>
  <si>
    <t xml:space="preserve">1.4</t>
  </si>
  <si>
    <t xml:space="preserve">Проектирование контент-модели</t>
  </si>
  <si>
    <t xml:space="preserve">1.5</t>
  </si>
  <si>
    <t xml:space="preserve">Первичная карта URL и инвентаризация редиректов</t>
  </si>
  <si>
    <t xml:space="preserve">1.6</t>
  </si>
  <si>
    <t xml:space="preserve">Информационная архитектура портала</t>
  </si>
  <si>
    <t xml:space="preserve">1.7</t>
  </si>
  <si>
    <t xml:space="preserve">Прототипы всех типов страниц</t>
  </si>
  <si>
    <t xml:space="preserve">1.8</t>
  </si>
  <si>
    <t xml:space="preserve">Проработка мобильных сценариев</t>
  </si>
  <si>
    <t xml:space="preserve">1.9</t>
  </si>
  <si>
    <t xml:space="preserve">Визуальная концепция, темы «Море» и «Горы»</t>
  </si>
  <si>
    <t xml:space="preserve">1.10</t>
  </si>
  <si>
    <t xml:space="preserve">Дизайн-система и токены (3 уровня, 7 брендов)</t>
  </si>
  <si>
    <t xml:space="preserve">1.11</t>
  </si>
  <si>
    <t xml:space="preserve">Макеты типов страниц (17 типов, desktop + mobile)</t>
  </si>
  <si>
    <t xml:space="preserve">1.12</t>
  </si>
  <si>
    <t xml:space="preserve">Дизайн блоков библиотеки (28 шт.)</t>
  </si>
  <si>
    <t xml:space="preserve">1.13</t>
  </si>
  <si>
    <t xml:space="preserve">Архитектура решения, схемы взаимодействия</t>
  </si>
  <si>
    <t xml:space="preserve">1.14</t>
  </si>
  <si>
    <t xml:space="preserve">Контракт контентного API (черновая версия)</t>
  </si>
  <si>
    <t xml:space="preserve">1.15</t>
  </si>
  <si>
    <t xml:space="preserve">Управление этапом</t>
  </si>
  <si>
    <t xml:space="preserve">ЭТАП 2. БАЗОВОЕ ЯДРО И АДМИНКА</t>
  </si>
  <si>
    <t xml:space="preserve">2.1</t>
  </si>
  <si>
    <t xml:space="preserve">Каркас приложения, роутинг, система тем</t>
  </si>
  <si>
    <t xml:space="preserve">2.2</t>
  </si>
  <si>
    <t xml:space="preserve">Библиотека универсальных блоков (28 шт.)</t>
  </si>
  <si>
    <t xml:space="preserve">2.3</t>
  </si>
  <si>
    <t xml:space="preserve">Storybook и документация блоков</t>
  </si>
  <si>
    <t xml:space="preserve">2.4</t>
  </si>
  <si>
    <t xml:space="preserve">Главная страница</t>
  </si>
  <si>
    <t xml:space="preserve">2.5</t>
  </si>
  <si>
    <t xml:space="preserve">Каталог отелей с фасетной фильтрацией</t>
  </si>
  <si>
    <t xml:space="preserve">2.6</t>
  </si>
  <si>
    <t xml:space="preserve">Шаблон подсайта отеля и его разделов</t>
  </si>
  <si>
    <t xml:space="preserve">2.7</t>
  </si>
  <si>
    <t xml:space="preserve">Страницы категорий номеров</t>
  </si>
  <si>
    <t xml:space="preserve">2.8</t>
  </si>
  <si>
    <t xml:space="preserve">Общие разделы портала (11 шт.)</t>
  </si>
  <si>
    <t xml:space="preserve">2.9</t>
  </si>
  <si>
    <t xml:space="preserve">Формы: 4 типа, независимые экземпляры</t>
  </si>
  <si>
    <t xml:space="preserve">2.10</t>
  </si>
  <si>
    <t xml:space="preserve">Интеграция виджета TravelLine на витрине</t>
  </si>
  <si>
    <t xml:space="preserve">2.11</t>
  </si>
  <si>
    <t xml:space="preserve">SEO-слой: метатеги, микроразметка, sitemap</t>
  </si>
  <si>
    <t xml:space="preserve">2.12</t>
  </si>
  <si>
    <t xml:space="preserve">Web-push, счётчик обратного отсчёта, попапы</t>
  </si>
  <si>
    <t xml:space="preserve">2.13</t>
  </si>
  <si>
    <t xml:space="preserve">Оптимизация Core Web Vitals и изображений</t>
  </si>
  <si>
    <t xml:space="preserve">2.14</t>
  </si>
  <si>
    <t xml:space="preserve">Адаптивная и кроссбраузерная доводка</t>
  </si>
  <si>
    <t xml:space="preserve">2.15</t>
  </si>
  <si>
    <t xml:space="preserve">Структура инфоблоков под контент-модель</t>
  </si>
  <si>
    <t xml:space="preserve">2.16</t>
  </si>
  <si>
    <t xml:space="preserve">Контентный API и спецификация OpenAPI</t>
  </si>
  <si>
    <t xml:space="preserve">2.17</t>
  </si>
  <si>
    <t xml:space="preserve">Webhook-ревалидация ISR при публикации</t>
  </si>
  <si>
    <t xml:space="preserve">2.18</t>
  </si>
  <si>
    <t xml:space="preserve">Админка: интерфейс конструктора блоков</t>
  </si>
  <si>
    <t xml:space="preserve">2.19</t>
  </si>
  <si>
    <t xml:space="preserve">Управление акциями (логика scope)</t>
  </si>
  <si>
    <t xml:space="preserve">2.20</t>
  </si>
  <si>
    <t xml:space="preserve">Управление SEO и редиректами в админке</t>
  </si>
  <si>
    <t xml:space="preserve">2.21</t>
  </si>
  <si>
    <t xml:space="preserve">Роли, права доступа, audit log</t>
  </si>
  <si>
    <t xml:space="preserve">2.22</t>
  </si>
  <si>
    <t xml:space="preserve">Интеграция с Битрикс24: формы, очередь</t>
  </si>
  <si>
    <t xml:space="preserve">2.23</t>
  </si>
  <si>
    <t xml:space="preserve">Интеграция с Mindbox</t>
  </si>
  <si>
    <t xml:space="preserve">2.24</t>
  </si>
  <si>
    <t xml:space="preserve">Интеграция с TravelLine: цены «от»</t>
  </si>
  <si>
    <t xml:space="preserve">2.25</t>
  </si>
  <si>
    <t xml:space="preserve">Скрипты миграции: выгрузка и трансформация</t>
  </si>
  <si>
    <t xml:space="preserve">2.26</t>
  </si>
  <si>
    <t xml:space="preserve">Прогоны миграции, разбор ошибок</t>
  </si>
  <si>
    <t xml:space="preserve">2.27</t>
  </si>
  <si>
    <t xml:space="preserve">Ручная доводка контента, кастомные лендинги</t>
  </si>
  <si>
    <t xml:space="preserve">2.28</t>
  </si>
  <si>
    <t xml:space="preserve">Карта редиректов: построение и валидация</t>
  </si>
  <si>
    <t xml:space="preserve">2.29</t>
  </si>
  <si>
    <t xml:space="preserve">IaC, окружения dev / staging / production</t>
  </si>
  <si>
    <t xml:space="preserve">2.30</t>
  </si>
  <si>
    <t xml:space="preserve">CI/CD pipeline</t>
  </si>
  <si>
    <t xml:space="preserve">2.31</t>
  </si>
  <si>
    <t xml:space="preserve">CDN, кеширование, image pipeline</t>
  </si>
  <si>
    <t xml:space="preserve">2.32</t>
  </si>
  <si>
    <t xml:space="preserve">Мониторинг, логирование, алертинг</t>
  </si>
  <si>
    <t xml:space="preserve">2.33</t>
  </si>
  <si>
    <t xml:space="preserve">Бэкапы, репликация, автоматический failover</t>
  </si>
  <si>
    <t xml:space="preserve">2.34</t>
  </si>
  <si>
    <t xml:space="preserve">WAF, rate limiting, конфигурация безопасности</t>
  </si>
  <si>
    <t xml:space="preserve">2.35</t>
  </si>
  <si>
    <t xml:space="preserve">Тест-план и чек-листы</t>
  </si>
  <si>
    <t xml:space="preserve">2.36</t>
  </si>
  <si>
    <t xml:space="preserve">Функциональное тестирование по спринтам</t>
  </si>
  <si>
    <t xml:space="preserve">2.37</t>
  </si>
  <si>
    <t xml:space="preserve">Кроссбраузерное и адаптивное тестирование</t>
  </si>
  <si>
    <t xml:space="preserve">2.38</t>
  </si>
  <si>
    <t xml:space="preserve">Автотесты e2e (happy path)</t>
  </si>
  <si>
    <t xml:space="preserve">2.39</t>
  </si>
  <si>
    <t xml:space="preserve">Регрессионное тестирование</t>
  </si>
  <si>
    <t xml:space="preserve">2.40</t>
  </si>
  <si>
    <t xml:space="preserve">Управление проектом</t>
  </si>
  <si>
    <t xml:space="preserve">2.41</t>
  </si>
  <si>
    <t xml:space="preserve">Архитектурный надзор и код-ревью</t>
  </si>
  <si>
    <t xml:space="preserve">2.42</t>
  </si>
  <si>
    <t xml:space="preserve">Аналитическое сопровождение разработки</t>
  </si>
  <si>
    <t xml:space="preserve">2.43</t>
  </si>
  <si>
    <t xml:space="preserve">Авторский надзор дизайна</t>
  </si>
  <si>
    <t xml:space="preserve">ЭТАП 3. SOFT-LAUNCH И QA</t>
  </si>
  <si>
    <t xml:space="preserve">3.1</t>
  </si>
  <si>
    <t xml:space="preserve">Нагрузочное тестирование по сценариям пиковых сезонов</t>
  </si>
  <si>
    <t xml:space="preserve">3.2</t>
  </si>
  <si>
    <t xml:space="preserve">Аудит безопасности OWASP Top-10</t>
  </si>
  <si>
    <t xml:space="preserve">3.3</t>
  </si>
  <si>
    <t xml:space="preserve">Устранение замечаний аудита</t>
  </si>
  <si>
    <t xml:space="preserve">3.4</t>
  </si>
  <si>
    <t xml:space="preserve">Настройка staging и soft-launch</t>
  </si>
  <si>
    <t xml:space="preserve">3.5</t>
  </si>
  <si>
    <t xml:space="preserve">Предпусковой SEO-аудит</t>
  </si>
  <si>
    <t xml:space="preserve">3.6</t>
  </si>
  <si>
    <t xml:space="preserve">Исправление дефектов</t>
  </si>
  <si>
    <t xml:space="preserve">3.7</t>
  </si>
  <si>
    <t xml:space="preserve">ЭТАП 4. ВОЛНОВОЕ ПЕРЕКЛЮЧЕНИЕ</t>
  </si>
  <si>
    <t xml:space="preserve">4.1</t>
  </si>
  <si>
    <t xml:space="preserve">Волна 1: подготовка и переключение пилотных отелей</t>
  </si>
  <si>
    <t xml:space="preserve">4.2</t>
  </si>
  <si>
    <t xml:space="preserve">Мониторинг и разбор результатов волны 1</t>
  </si>
  <si>
    <t xml:space="preserve">4.3</t>
  </si>
  <si>
    <t xml:space="preserve">Волны 2–3: переключение оставшихся отелей</t>
  </si>
  <si>
    <t xml:space="preserve">4.4</t>
  </si>
  <si>
    <t xml:space="preserve">Постмиграционный SEO-контроль (8 недель)</t>
  </si>
  <si>
    <t xml:space="preserve">4.5</t>
  </si>
  <si>
    <t xml:space="preserve">Оперативные исправления в период переключения</t>
  </si>
  <si>
    <t xml:space="preserve">4.6</t>
  </si>
  <si>
    <t xml:space="preserve">ЭТАП 5. ЗАВЕРШЕНИЕ И ПЕРЕДАЧА</t>
  </si>
  <si>
    <t xml:space="preserve">5.1</t>
  </si>
  <si>
    <t xml:space="preserve">Техническая документация</t>
  </si>
  <si>
    <t xml:space="preserve">5.2</t>
  </si>
  <si>
    <t xml:space="preserve">Пользовательская документация и инструкции</t>
  </si>
  <si>
    <t xml:space="preserve">5.3</t>
  </si>
  <si>
    <t xml:space="preserve">Подготовка и проведение 2 вебинаров</t>
  </si>
  <si>
    <t xml:space="preserve">5.4</t>
  </si>
  <si>
    <t xml:space="preserve">Горячая линия (2 недели после запуска)</t>
  </si>
  <si>
    <t xml:space="preserve">5.5</t>
  </si>
  <si>
    <t xml:space="preserve">Приёмка, акты, передача исходного кода</t>
  </si>
  <si>
    <t xml:space="preserve">ИТОГО ПО ПРОЕКТУ</t>
  </si>
  <si>
    <t xml:space="preserve">Сводка</t>
  </si>
  <si>
    <t xml:space="preserve">По этапам</t>
  </si>
  <si>
    <t xml:space="preserve">Этап</t>
  </si>
  <si>
    <t xml:space="preserve">Часов</t>
  </si>
  <si>
    <t xml:space="preserve">Чел.-мес.</t>
  </si>
  <si>
    <t xml:space="preserve">Доля</t>
  </si>
  <si>
    <t xml:space="preserve">Базовая оценка</t>
  </si>
  <si>
    <t xml:space="preserve">Итоговый расчёт</t>
  </si>
  <si>
    <t xml:space="preserve">Надбавка за параллелизацию</t>
  </si>
  <si>
    <t xml:space="preserve">ИТОГО с учётом надбавок</t>
  </si>
  <si>
    <t xml:space="preserve">По ролям</t>
  </si>
  <si>
    <t xml:space="preserve">Итого</t>
  </si>
  <si>
    <t xml:space="preserve">Календарный график: базовый и сжатый</t>
  </si>
  <si>
    <t xml:space="preserve">Сжатие достигается параллелизацией, а не сокращением объёма работ. Трудозатраты те же плюс надбавка за координацию.</t>
  </si>
  <si>
    <t xml:space="preserve">По ТЗ, нед.</t>
  </si>
  <si>
    <t xml:space="preserve">Сжатый, нед.</t>
  </si>
  <si>
    <t xml:space="preserve">Старт, нед.</t>
  </si>
  <si>
    <t xml:space="preserve">Финиш, нед.</t>
  </si>
  <si>
    <t xml:space="preserve">За счёт чего сжимаем</t>
  </si>
  <si>
    <t xml:space="preserve">1. Аналитика и дизайн</t>
  </si>
  <si>
    <t xml:space="preserve">3–5</t>
  </si>
  <si>
    <t xml:space="preserve">Прототипы заказчика в Figma берём за основу; 4 дизайнера вместо 2</t>
  </si>
  <si>
    <t xml:space="preserve">2. Базовое ядро и админка</t>
  </si>
  <si>
    <t xml:space="preserve">12–16</t>
  </si>
  <si>
    <t xml:space="preserve">Старт после утверждения дизайн-системы, не всех макетов; блоки и подсайты конвейером</t>
  </si>
  <si>
    <t xml:space="preserve">3. Soft-launch и QA</t>
  </si>
  <si>
    <t xml:space="preserve">2</t>
  </si>
  <si>
    <t xml:space="preserve">Нагрузочное и аудит безопасности внахлёст с концом разработки</t>
  </si>
  <si>
    <t xml:space="preserve">4. Волновое переключение</t>
  </si>
  <si>
    <t xml:space="preserve">н/д</t>
  </si>
  <si>
    <t xml:space="preserve">Волна 1 стартует, не дожидаясь готовности всех подсайтов</t>
  </si>
  <si>
    <t xml:space="preserve">5. Завершение и передача</t>
  </si>
  <si>
    <t xml:space="preserve">Документация пишется по ходу этапа 2, на финале — только сборка и обучение</t>
  </si>
  <si>
    <t xml:space="preserve">Итого календарно</t>
  </si>
  <si>
    <t xml:space="preserve">23–31</t>
  </si>
  <si>
    <t xml:space="preserve">6–7 месяцев по ТЗ → около 4 месяцев в сжатом графике</t>
  </si>
  <si>
    <t xml:space="preserve">Условия, без которых сжатый график недостижим</t>
  </si>
  <si>
    <t xml:space="preserve">•  Доступ к базе, админке, Метрике и Вебмастеру предоставлен в первую неделю этапа 1.</t>
  </si>
  <si>
    <t xml:space="preserve">•  Ответственный от заказчика с полномочиями принимать решения; согласования не дольше 3 рабочих дней.</t>
  </si>
  <si>
    <t xml:space="preserve">•  Прототипы Figma и брендбуки переданы на старте.</t>
  </si>
  <si>
    <t xml:space="preserve">•  Контент мигрируется «как есть»; переписывание текстов — отдельный объём работ.</t>
  </si>
  <si>
    <t xml:space="preserve">•  Объём библиотеки блоков фиксируется по итогам этапа 1 и не расширяется по ходу этапа 2.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</si>
</sst>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₽&quot;"/>
    <numFmt numFmtId="166" formatCode="0.0%"/>
    <numFmt numFmtId="167" formatCode="General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80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BFBFBF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6" t="n">
        <v>3000</v>
      </c>
    </row>
    <row r="8" customFormat="false" ht="15" hidden="false" customHeight="false" outlineLevel="0" collapsed="false">
      <c r="A8" s="5" t="s">
        <v>6</v>
      </c>
      <c r="B8" s="6" t="n">
        <v>3000</v>
      </c>
    </row>
    <row r="9" customFormat="false" ht="15" hidden="false" customHeight="false" outlineLevel="0" collapsed="false">
      <c r="A9" s="5" t="s">
        <v>7</v>
      </c>
      <c r="B9" s="6" t="n">
        <v>3000</v>
      </c>
    </row>
    <row r="10" customFormat="false" ht="15" hidden="false" customHeight="false" outlineLevel="0" collapsed="false">
      <c r="A10" s="5" t="s">
        <v>8</v>
      </c>
      <c r="B10" s="6" t="n">
        <v>4500</v>
      </c>
    </row>
    <row r="11" customFormat="false" ht="15" hidden="false" customHeight="false" outlineLevel="0" collapsed="false">
      <c r="A11" s="5" t="s">
        <v>9</v>
      </c>
      <c r="B11" s="6" t="n">
        <v>4500</v>
      </c>
    </row>
    <row r="12" customFormat="false" ht="15" hidden="false" customHeight="false" outlineLevel="0" collapsed="false">
      <c r="A12" s="5" t="s">
        <v>10</v>
      </c>
      <c r="B12" s="6" t="n">
        <v>3500</v>
      </c>
    </row>
    <row r="13" customFormat="false" ht="15" hidden="false" customHeight="false" outlineLevel="0" collapsed="false">
      <c r="A13" s="5" t="s">
        <v>11</v>
      </c>
      <c r="B13" s="6" t="n">
        <v>3500</v>
      </c>
    </row>
    <row r="14" customFormat="false" ht="15" hidden="false" customHeight="false" outlineLevel="0" collapsed="false">
      <c r="A14" s="5" t="s">
        <v>12</v>
      </c>
      <c r="B14" s="6" t="n">
        <v>4000</v>
      </c>
    </row>
    <row r="15" customFormat="false" ht="15" hidden="false" customHeight="false" outlineLevel="0" collapsed="false">
      <c r="A15" s="5" t="s">
        <v>13</v>
      </c>
      <c r="B15" s="6" t="n">
        <v>2500</v>
      </c>
    </row>
    <row r="16" customFormat="false" ht="15" hidden="false" customHeight="false" outlineLevel="0" collapsed="false">
      <c r="A16" s="5" t="s">
        <v>14</v>
      </c>
      <c r="B16" s="6" t="n">
        <v>3000</v>
      </c>
    </row>
    <row r="17" customFormat="false" ht="15" hidden="false" customHeight="false" outlineLevel="0" collapsed="false">
      <c r="A17" s="5" t="s">
        <v>15</v>
      </c>
      <c r="B17" s="6" t="n">
        <v>1800</v>
      </c>
    </row>
    <row r="19" customFormat="false" ht="15" hidden="false" customHeight="false" outlineLevel="0" collapsed="false">
      <c r="A19" s="5" t="s">
        <v>16</v>
      </c>
      <c r="B19" s="7" t="n">
        <v>160</v>
      </c>
    </row>
    <row r="20" customFormat="false" ht="15" hidden="false" customHeight="false" outlineLevel="0" collapsed="false">
      <c r="A20" s="5" t="s">
        <v>17</v>
      </c>
      <c r="B20" s="8" t="n">
        <v>0.06</v>
      </c>
      <c r="C20" s="9" t="s">
        <v>18</v>
      </c>
    </row>
    <row r="21" customFormat="false" ht="15" hidden="false" customHeight="false" outlineLevel="0" collapsed="false">
      <c r="A21" s="5" t="s">
        <v>19</v>
      </c>
      <c r="B21" s="8" t="n">
        <v>0.1</v>
      </c>
      <c r="C21" s="9" t="s">
        <v>20</v>
      </c>
    </row>
    <row r="23" customFormat="false" ht="15" hidden="false" customHeight="false" outlineLevel="0" collapsed="false">
      <c r="A23" s="10" t="s">
        <v>21</v>
      </c>
    </row>
    <row r="24" customFormat="false" ht="15" hidden="false" customHeight="false" outlineLevel="0" collapsed="false">
      <c r="A24" s="11" t="s">
        <v>22</v>
      </c>
    </row>
    <row r="25" customFormat="false" ht="15" hidden="false" customHeight="false" outlineLevel="0" collapsed="false">
      <c r="A25" s="11" t="s">
        <v>23</v>
      </c>
    </row>
    <row r="26" customFormat="false" ht="15" hidden="false" customHeight="false" outlineLevel="0" collapsed="false">
      <c r="A26" s="11" t="s">
        <v>24</v>
      </c>
    </row>
    <row r="27" customFormat="false" ht="15" hidden="false" customHeight="false" outlineLevel="0" collapsed="false">
      <c r="A27" s="11" t="s">
        <v>25</v>
      </c>
    </row>
    <row r="28" customFormat="false" ht="15" hidden="false" customHeight="false" outlineLevel="0" collapsed="false">
      <c r="A28" s="11" t="s">
        <v>26</v>
      </c>
    </row>
    <row r="29" customFormat="false" ht="15" hidden="false" customHeight="false" outlineLevel="0" collapsed="false">
      <c r="A29" s="11" t="s">
        <v>27</v>
      </c>
    </row>
    <row r="30" customFormat="false" ht="15" hidden="false" customHeight="false" outlineLevel="0" collapsed="false">
      <c r="A30" s="1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13" min="3" style="0" width="11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2" t="s">
        <v>31</v>
      </c>
      <c r="C4" s="13" t="n">
        <f aca="false">Параметры!$B$7</f>
        <v>3000</v>
      </c>
      <c r="D4" s="13" t="n">
        <f aca="false">Параметры!$B$8</f>
        <v>3000</v>
      </c>
      <c r="E4" s="13" t="n">
        <f aca="false">Параметры!$B$9</f>
        <v>3000</v>
      </c>
      <c r="F4" s="13" t="n">
        <f aca="false">Параметры!$B$10</f>
        <v>4500</v>
      </c>
      <c r="G4" s="13" t="n">
        <f aca="false">Параметры!$B$11</f>
        <v>4500</v>
      </c>
      <c r="H4" s="13" t="n">
        <f aca="false">Параметры!$B$12</f>
        <v>3500</v>
      </c>
      <c r="I4" s="13" t="n">
        <f aca="false">Параметры!$B$13</f>
        <v>3500</v>
      </c>
      <c r="J4" s="13" t="n">
        <f aca="false">Параметры!$B$14</f>
        <v>4000</v>
      </c>
      <c r="K4" s="13" t="n">
        <f aca="false">Параметры!$B$15</f>
        <v>2500</v>
      </c>
      <c r="L4" s="13" t="n">
        <f aca="false">Параметры!$B$16</f>
        <v>3000</v>
      </c>
      <c r="M4" s="13" t="n">
        <f aca="false">Параметры!$B$17</f>
        <v>1800</v>
      </c>
    </row>
    <row r="5" customFormat="false" ht="43.5" hidden="false" customHeight="true" outlineLevel="0" collapsed="false">
      <c r="A5" s="14" t="s">
        <v>32</v>
      </c>
      <c r="B5" s="14" t="s">
        <v>33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34</v>
      </c>
      <c r="O5" s="14" t="s">
        <v>35</v>
      </c>
    </row>
    <row r="6" customFormat="false" ht="15" hidden="false" customHeight="false" outlineLevel="0" collapsed="false">
      <c r="A6" s="15"/>
      <c r="B6" s="16" t="s">
        <v>36</v>
      </c>
      <c r="C6" s="17" t="n">
        <f aca="false">SUM(C7:C21)</f>
        <v>80</v>
      </c>
      <c r="D6" s="17" t="n">
        <f aca="false">SUM(D7:D21)</f>
        <v>250</v>
      </c>
      <c r="E6" s="17" t="n">
        <f aca="false">SUM(E7:E21)</f>
        <v>580</v>
      </c>
      <c r="F6" s="17" t="n">
        <f aca="false">SUM(F7:F21)</f>
        <v>80</v>
      </c>
      <c r="G6" s="17" t="n">
        <f aca="false">SUM(G7:G21)</f>
        <v>150</v>
      </c>
      <c r="H6" s="17" t="n">
        <f aca="false">SUM(H7:H21)</f>
        <v>0</v>
      </c>
      <c r="I6" s="17" t="n">
        <f aca="false">SUM(I7:I21)</f>
        <v>0</v>
      </c>
      <c r="J6" s="17" t="n">
        <f aca="false">SUM(J7:J21)</f>
        <v>0</v>
      </c>
      <c r="K6" s="17" t="n">
        <f aca="false">SUM(K7:K21)</f>
        <v>0</v>
      </c>
      <c r="L6" s="17" t="n">
        <f aca="false">SUM(L7:L21)</f>
        <v>50</v>
      </c>
      <c r="M6" s="17" t="n">
        <f aca="false">SUM(M7:M21)</f>
        <v>0</v>
      </c>
      <c r="N6" s="17" t="n">
        <f aca="false">SUM(N7:N21)</f>
        <v>1190</v>
      </c>
      <c r="O6" s="18" t="n">
        <f aca="false">SUM(O7:O21)</f>
        <v>3915000</v>
      </c>
    </row>
    <row r="7" customFormat="false" ht="15" hidden="false" customHeight="false" outlineLevel="0" collapsed="false">
      <c r="A7" s="5" t="s">
        <v>37</v>
      </c>
      <c r="B7" s="5" t="s">
        <v>38</v>
      </c>
      <c r="C7" s="19"/>
      <c r="D7" s="19" t="n">
        <v>60</v>
      </c>
      <c r="E7" s="19"/>
      <c r="F7" s="19"/>
      <c r="G7" s="19"/>
      <c r="H7" s="19"/>
      <c r="I7" s="19"/>
      <c r="J7" s="19"/>
      <c r="K7" s="19"/>
      <c r="L7" s="19" t="n">
        <v>20</v>
      </c>
      <c r="M7" s="19"/>
      <c r="N7" s="20" t="n">
        <f aca="false">SUM(C7:M7)</f>
        <v>80</v>
      </c>
      <c r="O7" s="21" t="n">
        <f aca="false">SUMPRODUCT(C7:M7,$C$4:$M$4)</f>
        <v>240000</v>
      </c>
    </row>
    <row r="8" customFormat="false" ht="15" hidden="false" customHeight="false" outlineLevel="0" collapsed="false">
      <c r="A8" s="5" t="s">
        <v>39</v>
      </c>
      <c r="B8" s="5" t="s">
        <v>40</v>
      </c>
      <c r="C8" s="19" t="n">
        <v>20</v>
      </c>
      <c r="D8" s="19" t="n">
        <v>40</v>
      </c>
      <c r="E8" s="19"/>
      <c r="F8" s="19"/>
      <c r="G8" s="19" t="n">
        <v>10</v>
      </c>
      <c r="H8" s="19"/>
      <c r="I8" s="19"/>
      <c r="J8" s="19"/>
      <c r="K8" s="19"/>
      <c r="L8" s="19"/>
      <c r="M8" s="19"/>
      <c r="N8" s="20" t="n">
        <f aca="false">SUM(C8:M8)</f>
        <v>70</v>
      </c>
      <c r="O8" s="21" t="n">
        <f aca="false">SUMPRODUCT(C8:M8,$C$4:$M$4)</f>
        <v>225000</v>
      </c>
    </row>
    <row r="9" customFormat="false" ht="15" hidden="false" customHeight="false" outlineLevel="0" collapsed="false">
      <c r="A9" s="5" t="s">
        <v>41</v>
      </c>
      <c r="B9" s="5" t="s">
        <v>42</v>
      </c>
      <c r="C9" s="19"/>
      <c r="D9" s="19" t="n">
        <v>80</v>
      </c>
      <c r="E9" s="19"/>
      <c r="F9" s="19"/>
      <c r="G9" s="19" t="n">
        <v>20</v>
      </c>
      <c r="H9" s="19"/>
      <c r="I9" s="19"/>
      <c r="J9" s="19"/>
      <c r="K9" s="19"/>
      <c r="L9" s="19"/>
      <c r="M9" s="19"/>
      <c r="N9" s="20" t="n">
        <f aca="false">SUM(C9:M9)</f>
        <v>100</v>
      </c>
      <c r="O9" s="21" t="n">
        <f aca="false">SUMPRODUCT(C9:M9,$C$4:$M$4)</f>
        <v>330000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19"/>
      <c r="D10" s="19" t="n">
        <v>40</v>
      </c>
      <c r="E10" s="19"/>
      <c r="F10" s="19"/>
      <c r="G10" s="19" t="n">
        <v>20</v>
      </c>
      <c r="H10" s="19"/>
      <c r="I10" s="19"/>
      <c r="J10" s="19"/>
      <c r="K10" s="19"/>
      <c r="L10" s="19"/>
      <c r="M10" s="19"/>
      <c r="N10" s="20" t="n">
        <f aca="false">SUM(C10:M10)</f>
        <v>60</v>
      </c>
      <c r="O10" s="21" t="n">
        <f aca="false">SUMPRODUCT(C10:M10,$C$4:$M$4)</f>
        <v>210000</v>
      </c>
    </row>
    <row r="11" customFormat="false" ht="15" hidden="false" customHeight="false" outlineLevel="0" collapsed="false">
      <c r="A11" s="5" t="s">
        <v>45</v>
      </c>
      <c r="B11" s="5" t="s">
        <v>46</v>
      </c>
      <c r="C11" s="19"/>
      <c r="D11" s="19" t="n">
        <v>30</v>
      </c>
      <c r="E11" s="19"/>
      <c r="F11" s="19"/>
      <c r="G11" s="19"/>
      <c r="H11" s="19"/>
      <c r="I11" s="19"/>
      <c r="J11" s="19"/>
      <c r="K11" s="19"/>
      <c r="L11" s="19" t="n">
        <v>30</v>
      </c>
      <c r="M11" s="19"/>
      <c r="N11" s="20" t="n">
        <f aca="false">SUM(C11:M11)</f>
        <v>60</v>
      </c>
      <c r="O11" s="21" t="n">
        <f aca="false">SUMPRODUCT(C11:M11,$C$4:$M$4)</f>
        <v>180000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19"/>
      <c r="D12" s="19"/>
      <c r="E12" s="19" t="n">
        <v>40</v>
      </c>
      <c r="F12" s="19"/>
      <c r="G12" s="19"/>
      <c r="H12" s="19"/>
      <c r="I12" s="19"/>
      <c r="J12" s="19"/>
      <c r="K12" s="19"/>
      <c r="L12" s="19"/>
      <c r="M12" s="19"/>
      <c r="N12" s="20" t="n">
        <f aca="false">SUM(C12:M12)</f>
        <v>40</v>
      </c>
      <c r="O12" s="21" t="n">
        <f aca="false">SUMPRODUCT(C12:M12,$C$4:$M$4)</f>
        <v>120000</v>
      </c>
    </row>
    <row r="13" customFormat="false" ht="15" hidden="false" customHeight="false" outlineLevel="0" collapsed="false">
      <c r="A13" s="5" t="s">
        <v>49</v>
      </c>
      <c r="B13" s="5" t="s">
        <v>50</v>
      </c>
      <c r="C13" s="19"/>
      <c r="D13" s="19"/>
      <c r="E13" s="19" t="n">
        <v>120</v>
      </c>
      <c r="F13" s="19"/>
      <c r="G13" s="19"/>
      <c r="H13" s="19"/>
      <c r="I13" s="19"/>
      <c r="J13" s="19"/>
      <c r="K13" s="19"/>
      <c r="L13" s="19"/>
      <c r="M13" s="19"/>
      <c r="N13" s="20" t="n">
        <f aca="false">SUM(C13:M13)</f>
        <v>120</v>
      </c>
      <c r="O13" s="21" t="n">
        <f aca="false">SUMPRODUCT(C13:M13,$C$4:$M$4)</f>
        <v>360000</v>
      </c>
    </row>
    <row r="14" customFormat="false" ht="15" hidden="false" customHeight="false" outlineLevel="0" collapsed="false">
      <c r="A14" s="5" t="s">
        <v>51</v>
      </c>
      <c r="B14" s="5" t="s">
        <v>52</v>
      </c>
      <c r="C14" s="19"/>
      <c r="D14" s="19"/>
      <c r="E14" s="19" t="n">
        <v>40</v>
      </c>
      <c r="F14" s="19"/>
      <c r="G14" s="19"/>
      <c r="H14" s="19"/>
      <c r="I14" s="19"/>
      <c r="J14" s="19"/>
      <c r="K14" s="19"/>
      <c r="L14" s="19"/>
      <c r="M14" s="19"/>
      <c r="N14" s="20" t="n">
        <f aca="false">SUM(C14:M14)</f>
        <v>40</v>
      </c>
      <c r="O14" s="21" t="n">
        <f aca="false">SUMPRODUCT(C14:M14,$C$4:$M$4)</f>
        <v>120000</v>
      </c>
    </row>
    <row r="15" customFormat="false" ht="15" hidden="false" customHeight="false" outlineLevel="0" collapsed="false">
      <c r="A15" s="5" t="s">
        <v>53</v>
      </c>
      <c r="B15" s="5" t="s">
        <v>54</v>
      </c>
      <c r="C15" s="19"/>
      <c r="D15" s="19"/>
      <c r="E15" s="19" t="n">
        <v>20</v>
      </c>
      <c r="F15" s="19" t="n">
        <v>60</v>
      </c>
      <c r="G15" s="19"/>
      <c r="H15" s="19"/>
      <c r="I15" s="19"/>
      <c r="J15" s="19"/>
      <c r="K15" s="19"/>
      <c r="L15" s="19"/>
      <c r="M15" s="19"/>
      <c r="N15" s="20" t="n">
        <f aca="false">SUM(C15:M15)</f>
        <v>80</v>
      </c>
      <c r="O15" s="21" t="n">
        <f aca="false">SUMPRODUCT(C15:M15,$C$4:$M$4)</f>
        <v>330000</v>
      </c>
    </row>
    <row r="16" customFormat="false" ht="15" hidden="false" customHeight="false" outlineLevel="0" collapsed="false">
      <c r="A16" s="5" t="s">
        <v>55</v>
      </c>
      <c r="B16" s="5" t="s">
        <v>56</v>
      </c>
      <c r="C16" s="19"/>
      <c r="D16" s="19"/>
      <c r="E16" s="19" t="n">
        <v>100</v>
      </c>
      <c r="F16" s="19" t="n">
        <v>20</v>
      </c>
      <c r="G16" s="19"/>
      <c r="H16" s="19"/>
      <c r="I16" s="19"/>
      <c r="J16" s="19"/>
      <c r="K16" s="19"/>
      <c r="L16" s="19"/>
      <c r="M16" s="19"/>
      <c r="N16" s="20" t="n">
        <f aca="false">SUM(C16:M16)</f>
        <v>120</v>
      </c>
      <c r="O16" s="21" t="n">
        <f aca="false">SUMPRODUCT(C16:M16,$C$4:$M$4)</f>
        <v>390000</v>
      </c>
    </row>
    <row r="17" customFormat="false" ht="15" hidden="false" customHeight="false" outlineLevel="0" collapsed="false">
      <c r="A17" s="5" t="s">
        <v>57</v>
      </c>
      <c r="B17" s="5" t="s">
        <v>58</v>
      </c>
      <c r="C17" s="19"/>
      <c r="D17" s="19"/>
      <c r="E17" s="19" t="n">
        <v>160</v>
      </c>
      <c r="F17" s="19"/>
      <c r="G17" s="19"/>
      <c r="H17" s="19"/>
      <c r="I17" s="19"/>
      <c r="J17" s="19"/>
      <c r="K17" s="19"/>
      <c r="L17" s="19"/>
      <c r="M17" s="19"/>
      <c r="N17" s="20" t="n">
        <f aca="false">SUM(C17:M17)</f>
        <v>160</v>
      </c>
      <c r="O17" s="21" t="n">
        <f aca="false">SUMPRODUCT(C17:M17,$C$4:$M$4)</f>
        <v>480000</v>
      </c>
    </row>
    <row r="18" customFormat="false" ht="15" hidden="false" customHeight="false" outlineLevel="0" collapsed="false">
      <c r="A18" s="5" t="s">
        <v>59</v>
      </c>
      <c r="B18" s="5" t="s">
        <v>60</v>
      </c>
      <c r="C18" s="19"/>
      <c r="D18" s="19"/>
      <c r="E18" s="19" t="n">
        <v>100</v>
      </c>
      <c r="F18" s="19"/>
      <c r="G18" s="19"/>
      <c r="H18" s="19"/>
      <c r="I18" s="19"/>
      <c r="J18" s="19"/>
      <c r="K18" s="19"/>
      <c r="L18" s="19"/>
      <c r="M18" s="19"/>
      <c r="N18" s="20" t="n">
        <f aca="false">SUM(C18:M18)</f>
        <v>100</v>
      </c>
      <c r="O18" s="21" t="n">
        <f aca="false">SUMPRODUCT(C18:M18,$C$4:$M$4)</f>
        <v>300000</v>
      </c>
    </row>
    <row r="19" customFormat="false" ht="15" hidden="false" customHeight="false" outlineLevel="0" collapsed="false">
      <c r="A19" s="5" t="s">
        <v>61</v>
      </c>
      <c r="B19" s="5" t="s">
        <v>62</v>
      </c>
      <c r="C19" s="19"/>
      <c r="D19" s="19"/>
      <c r="E19" s="19"/>
      <c r="F19" s="19"/>
      <c r="G19" s="19" t="n">
        <v>60</v>
      </c>
      <c r="H19" s="19"/>
      <c r="I19" s="19"/>
      <c r="J19" s="19"/>
      <c r="K19" s="19"/>
      <c r="L19" s="19"/>
      <c r="M19" s="19"/>
      <c r="N19" s="20" t="n">
        <f aca="false">SUM(C19:M19)</f>
        <v>60</v>
      </c>
      <c r="O19" s="21" t="n">
        <f aca="false">SUMPRODUCT(C19:M19,$C$4:$M$4)</f>
        <v>270000</v>
      </c>
    </row>
    <row r="20" customFormat="false" ht="15" hidden="false" customHeight="false" outlineLevel="0" collapsed="false">
      <c r="A20" s="5" t="s">
        <v>63</v>
      </c>
      <c r="B20" s="5" t="s">
        <v>64</v>
      </c>
      <c r="C20" s="19"/>
      <c r="D20" s="19"/>
      <c r="E20" s="19"/>
      <c r="F20" s="19"/>
      <c r="G20" s="19" t="n">
        <v>40</v>
      </c>
      <c r="H20" s="19"/>
      <c r="I20" s="19"/>
      <c r="J20" s="19"/>
      <c r="K20" s="19"/>
      <c r="L20" s="19"/>
      <c r="M20" s="19"/>
      <c r="N20" s="20" t="n">
        <f aca="false">SUM(C20:M20)</f>
        <v>40</v>
      </c>
      <c r="O20" s="21" t="n">
        <f aca="false">SUMPRODUCT(C20:M20,$C$4:$M$4)</f>
        <v>180000</v>
      </c>
    </row>
    <row r="21" customFormat="false" ht="15" hidden="false" customHeight="false" outlineLevel="0" collapsed="false">
      <c r="A21" s="5" t="s">
        <v>65</v>
      </c>
      <c r="B21" s="5" t="s">
        <v>66</v>
      </c>
      <c r="C21" s="19" t="n">
        <v>60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 t="n">
        <f aca="false">SUM(C21:M21)</f>
        <v>60</v>
      </c>
      <c r="O21" s="21" t="n">
        <f aca="false">SUMPRODUCT(C21:M21,$C$4:$M$4)</f>
        <v>180000</v>
      </c>
    </row>
    <row r="22" customFormat="false" ht="15" hidden="false" customHeight="false" outlineLevel="0" collapsed="false">
      <c r="A22" s="15"/>
      <c r="B22" s="16" t="s">
        <v>67</v>
      </c>
      <c r="C22" s="17" t="n">
        <f aca="false">SUM(C23:C65)</f>
        <v>300</v>
      </c>
      <c r="D22" s="17" t="n">
        <f aca="false">SUM(D23:D65)</f>
        <v>120</v>
      </c>
      <c r="E22" s="17" t="n">
        <f aca="false">SUM(E23:E65)</f>
        <v>80</v>
      </c>
      <c r="F22" s="17" t="n">
        <f aca="false">SUM(F23:F65)</f>
        <v>20</v>
      </c>
      <c r="G22" s="17" t="n">
        <f aca="false">SUM(G23:G65)</f>
        <v>200</v>
      </c>
      <c r="H22" s="17" t="n">
        <f aca="false">SUM(H23:H65)</f>
        <v>1380</v>
      </c>
      <c r="I22" s="17" t="n">
        <f aca="false">SUM(I23:I65)</f>
        <v>1080</v>
      </c>
      <c r="J22" s="17" t="n">
        <f aca="false">SUM(J23:J65)</f>
        <v>340</v>
      </c>
      <c r="K22" s="17" t="n">
        <f aca="false">SUM(K23:K65)</f>
        <v>500</v>
      </c>
      <c r="L22" s="17" t="n">
        <f aca="false">SUM(L23:L65)</f>
        <v>50</v>
      </c>
      <c r="M22" s="17" t="n">
        <f aca="false">SUM(M23:M65)</f>
        <v>200</v>
      </c>
      <c r="N22" s="17" t="n">
        <f aca="false">SUM(N23:N65)</f>
        <v>4270</v>
      </c>
      <c r="O22" s="18" t="n">
        <f aca="false">SUM(O23:O65)</f>
        <v>14220000</v>
      </c>
    </row>
    <row r="23" customFormat="false" ht="15" hidden="false" customHeight="false" outlineLevel="0" collapsed="false">
      <c r="A23" s="5" t="s">
        <v>68</v>
      </c>
      <c r="B23" s="5" t="s">
        <v>69</v>
      </c>
      <c r="C23" s="19"/>
      <c r="D23" s="19"/>
      <c r="E23" s="19"/>
      <c r="F23" s="19"/>
      <c r="G23" s="19"/>
      <c r="H23" s="19" t="n">
        <v>120</v>
      </c>
      <c r="I23" s="19"/>
      <c r="J23" s="19"/>
      <c r="K23" s="19"/>
      <c r="L23" s="19"/>
      <c r="M23" s="19"/>
      <c r="N23" s="20" t="n">
        <f aca="false">SUM(C23:M23)</f>
        <v>120</v>
      </c>
      <c r="O23" s="21" t="n">
        <f aca="false">SUMPRODUCT(C23:M23,$C$4:$M$4)</f>
        <v>420000</v>
      </c>
    </row>
    <row r="24" customFormat="false" ht="15" hidden="false" customHeight="false" outlineLevel="0" collapsed="false">
      <c r="A24" s="5" t="s">
        <v>70</v>
      </c>
      <c r="B24" s="5" t="s">
        <v>71</v>
      </c>
      <c r="C24" s="19"/>
      <c r="D24" s="19"/>
      <c r="E24" s="19"/>
      <c r="F24" s="19"/>
      <c r="G24" s="19"/>
      <c r="H24" s="19" t="n">
        <v>400</v>
      </c>
      <c r="I24" s="19"/>
      <c r="J24" s="19"/>
      <c r="K24" s="19"/>
      <c r="L24" s="19"/>
      <c r="M24" s="19"/>
      <c r="N24" s="20" t="n">
        <f aca="false">SUM(C24:M24)</f>
        <v>400</v>
      </c>
      <c r="O24" s="21" t="n">
        <f aca="false">SUMPRODUCT(C24:M24,$C$4:$M$4)</f>
        <v>1400000</v>
      </c>
    </row>
    <row r="25" customFormat="false" ht="15" hidden="false" customHeight="false" outlineLevel="0" collapsed="false">
      <c r="A25" s="5" t="s">
        <v>72</v>
      </c>
      <c r="B25" s="5" t="s">
        <v>73</v>
      </c>
      <c r="C25" s="19"/>
      <c r="D25" s="19"/>
      <c r="E25" s="19"/>
      <c r="F25" s="19"/>
      <c r="G25" s="19"/>
      <c r="H25" s="19" t="n">
        <v>60</v>
      </c>
      <c r="I25" s="19"/>
      <c r="J25" s="19"/>
      <c r="K25" s="19"/>
      <c r="L25" s="19"/>
      <c r="M25" s="19"/>
      <c r="N25" s="20" t="n">
        <f aca="false">SUM(C25:M25)</f>
        <v>60</v>
      </c>
      <c r="O25" s="21" t="n">
        <f aca="false">SUMPRODUCT(C25:M25,$C$4:$M$4)</f>
        <v>210000</v>
      </c>
    </row>
    <row r="26" customFormat="false" ht="15" hidden="false" customHeight="false" outlineLevel="0" collapsed="false">
      <c r="A26" s="5" t="s">
        <v>74</v>
      </c>
      <c r="B26" s="5" t="s">
        <v>75</v>
      </c>
      <c r="C26" s="19"/>
      <c r="D26" s="19"/>
      <c r="E26" s="19"/>
      <c r="F26" s="19"/>
      <c r="G26" s="19"/>
      <c r="H26" s="19" t="n">
        <v>40</v>
      </c>
      <c r="I26" s="19"/>
      <c r="J26" s="19"/>
      <c r="K26" s="19"/>
      <c r="L26" s="19"/>
      <c r="M26" s="19"/>
      <c r="N26" s="20" t="n">
        <f aca="false">SUM(C26:M26)</f>
        <v>40</v>
      </c>
      <c r="O26" s="21" t="n">
        <f aca="false">SUMPRODUCT(C26:M26,$C$4:$M$4)</f>
        <v>140000</v>
      </c>
    </row>
    <row r="27" customFormat="false" ht="15" hidden="false" customHeight="false" outlineLevel="0" collapsed="false">
      <c r="A27" s="5" t="s">
        <v>76</v>
      </c>
      <c r="B27" s="5" t="s">
        <v>77</v>
      </c>
      <c r="C27" s="19"/>
      <c r="D27" s="19"/>
      <c r="E27" s="19"/>
      <c r="F27" s="19"/>
      <c r="G27" s="19"/>
      <c r="H27" s="19" t="n">
        <v>80</v>
      </c>
      <c r="I27" s="19"/>
      <c r="J27" s="19"/>
      <c r="K27" s="19"/>
      <c r="L27" s="19"/>
      <c r="M27" s="19"/>
      <c r="N27" s="20" t="n">
        <f aca="false">SUM(C27:M27)</f>
        <v>80</v>
      </c>
      <c r="O27" s="21" t="n">
        <f aca="false">SUMPRODUCT(C27:M27,$C$4:$M$4)</f>
        <v>280000</v>
      </c>
    </row>
    <row r="28" customFormat="false" ht="15" hidden="false" customHeight="false" outlineLevel="0" collapsed="false">
      <c r="A28" s="5" t="s">
        <v>78</v>
      </c>
      <c r="B28" s="5" t="s">
        <v>79</v>
      </c>
      <c r="C28" s="19"/>
      <c r="D28" s="19"/>
      <c r="E28" s="19"/>
      <c r="F28" s="19"/>
      <c r="G28" s="19"/>
      <c r="H28" s="19" t="n">
        <v>120</v>
      </c>
      <c r="I28" s="19"/>
      <c r="J28" s="19"/>
      <c r="K28" s="19"/>
      <c r="L28" s="19"/>
      <c r="M28" s="19"/>
      <c r="N28" s="20" t="n">
        <f aca="false">SUM(C28:M28)</f>
        <v>120</v>
      </c>
      <c r="O28" s="21" t="n">
        <f aca="false">SUMPRODUCT(C28:M28,$C$4:$M$4)</f>
        <v>420000</v>
      </c>
    </row>
    <row r="29" customFormat="false" ht="15" hidden="false" customHeight="false" outlineLevel="0" collapsed="false">
      <c r="A29" s="5" t="s">
        <v>80</v>
      </c>
      <c r="B29" s="5" t="s">
        <v>81</v>
      </c>
      <c r="C29" s="19"/>
      <c r="D29" s="19"/>
      <c r="E29" s="19"/>
      <c r="F29" s="19"/>
      <c r="G29" s="19"/>
      <c r="H29" s="19" t="n">
        <v>40</v>
      </c>
      <c r="I29" s="19"/>
      <c r="J29" s="19"/>
      <c r="K29" s="19"/>
      <c r="L29" s="19"/>
      <c r="M29" s="19"/>
      <c r="N29" s="20" t="n">
        <f aca="false">SUM(C29:M29)</f>
        <v>40</v>
      </c>
      <c r="O29" s="21" t="n">
        <f aca="false">SUMPRODUCT(C29:M29,$C$4:$M$4)</f>
        <v>140000</v>
      </c>
    </row>
    <row r="30" customFormat="false" ht="15" hidden="false" customHeight="false" outlineLevel="0" collapsed="false">
      <c r="A30" s="5" t="s">
        <v>82</v>
      </c>
      <c r="B30" s="5" t="s">
        <v>83</v>
      </c>
      <c r="C30" s="19"/>
      <c r="D30" s="19"/>
      <c r="E30" s="19"/>
      <c r="F30" s="19"/>
      <c r="G30" s="19"/>
      <c r="H30" s="19" t="n">
        <v>120</v>
      </c>
      <c r="I30" s="19"/>
      <c r="J30" s="19"/>
      <c r="K30" s="19"/>
      <c r="L30" s="19"/>
      <c r="M30" s="19"/>
      <c r="N30" s="20" t="n">
        <f aca="false">SUM(C30:M30)</f>
        <v>120</v>
      </c>
      <c r="O30" s="21" t="n">
        <f aca="false">SUMPRODUCT(C30:M30,$C$4:$M$4)</f>
        <v>420000</v>
      </c>
    </row>
    <row r="31" customFormat="false" ht="15" hidden="false" customHeight="false" outlineLevel="0" collapsed="false">
      <c r="A31" s="5" t="s">
        <v>84</v>
      </c>
      <c r="B31" s="5" t="s">
        <v>85</v>
      </c>
      <c r="C31" s="19"/>
      <c r="D31" s="19"/>
      <c r="E31" s="19"/>
      <c r="F31" s="19"/>
      <c r="G31" s="19"/>
      <c r="H31" s="19" t="n">
        <v>80</v>
      </c>
      <c r="I31" s="19"/>
      <c r="J31" s="19"/>
      <c r="K31" s="19"/>
      <c r="L31" s="19"/>
      <c r="M31" s="19"/>
      <c r="N31" s="20" t="n">
        <f aca="false">SUM(C31:M31)</f>
        <v>80</v>
      </c>
      <c r="O31" s="21" t="n">
        <f aca="false">SUMPRODUCT(C31:M31,$C$4:$M$4)</f>
        <v>280000</v>
      </c>
    </row>
    <row r="32" customFormat="false" ht="15" hidden="false" customHeight="false" outlineLevel="0" collapsed="false">
      <c r="A32" s="5" t="s">
        <v>86</v>
      </c>
      <c r="B32" s="5" t="s">
        <v>87</v>
      </c>
      <c r="C32" s="19"/>
      <c r="D32" s="19"/>
      <c r="E32" s="19"/>
      <c r="F32" s="19"/>
      <c r="G32" s="19"/>
      <c r="H32" s="19" t="n">
        <v>60</v>
      </c>
      <c r="I32" s="19"/>
      <c r="J32" s="19"/>
      <c r="K32" s="19"/>
      <c r="L32" s="19"/>
      <c r="M32" s="19"/>
      <c r="N32" s="20" t="n">
        <f aca="false">SUM(C32:M32)</f>
        <v>60</v>
      </c>
      <c r="O32" s="21" t="n">
        <f aca="false">SUMPRODUCT(C32:M32,$C$4:$M$4)</f>
        <v>210000</v>
      </c>
    </row>
    <row r="33" customFormat="false" ht="15" hidden="false" customHeight="false" outlineLevel="0" collapsed="false">
      <c r="A33" s="5" t="s">
        <v>88</v>
      </c>
      <c r="B33" s="5" t="s">
        <v>89</v>
      </c>
      <c r="C33" s="19"/>
      <c r="D33" s="19"/>
      <c r="E33" s="19"/>
      <c r="F33" s="19"/>
      <c r="G33" s="19"/>
      <c r="H33" s="19" t="n">
        <v>60</v>
      </c>
      <c r="I33" s="19"/>
      <c r="J33" s="19"/>
      <c r="K33" s="19"/>
      <c r="L33" s="19"/>
      <c r="M33" s="19"/>
      <c r="N33" s="20" t="n">
        <f aca="false">SUM(C33:M33)</f>
        <v>60</v>
      </c>
      <c r="O33" s="21" t="n">
        <f aca="false">SUMPRODUCT(C33:M33,$C$4:$M$4)</f>
        <v>210000</v>
      </c>
    </row>
    <row r="34" customFormat="false" ht="15" hidden="false" customHeight="false" outlineLevel="0" collapsed="false">
      <c r="A34" s="5" t="s">
        <v>90</v>
      </c>
      <c r="B34" s="5" t="s">
        <v>91</v>
      </c>
      <c r="C34" s="19"/>
      <c r="D34" s="19"/>
      <c r="E34" s="19"/>
      <c r="F34" s="19"/>
      <c r="G34" s="19"/>
      <c r="H34" s="19" t="n">
        <v>40</v>
      </c>
      <c r="I34" s="19"/>
      <c r="J34" s="19"/>
      <c r="K34" s="19"/>
      <c r="L34" s="19"/>
      <c r="M34" s="19"/>
      <c r="N34" s="20" t="n">
        <f aca="false">SUM(C34:M34)</f>
        <v>40</v>
      </c>
      <c r="O34" s="21" t="n">
        <f aca="false">SUMPRODUCT(C34:M34,$C$4:$M$4)</f>
        <v>140000</v>
      </c>
    </row>
    <row r="35" customFormat="false" ht="15" hidden="false" customHeight="false" outlineLevel="0" collapsed="false">
      <c r="A35" s="5" t="s">
        <v>92</v>
      </c>
      <c r="B35" s="5" t="s">
        <v>93</v>
      </c>
      <c r="C35" s="19"/>
      <c r="D35" s="19"/>
      <c r="E35" s="19"/>
      <c r="F35" s="19"/>
      <c r="G35" s="19"/>
      <c r="H35" s="19" t="n">
        <v>80</v>
      </c>
      <c r="I35" s="19"/>
      <c r="J35" s="19"/>
      <c r="K35" s="19"/>
      <c r="L35" s="19"/>
      <c r="M35" s="19"/>
      <c r="N35" s="20" t="n">
        <f aca="false">SUM(C35:M35)</f>
        <v>80</v>
      </c>
      <c r="O35" s="21" t="n">
        <f aca="false">SUMPRODUCT(C35:M35,$C$4:$M$4)</f>
        <v>280000</v>
      </c>
    </row>
    <row r="36" customFormat="false" ht="15" hidden="false" customHeight="false" outlineLevel="0" collapsed="false">
      <c r="A36" s="5" t="s">
        <v>94</v>
      </c>
      <c r="B36" s="5" t="s">
        <v>95</v>
      </c>
      <c r="C36" s="19"/>
      <c r="D36" s="19"/>
      <c r="E36" s="19"/>
      <c r="F36" s="19"/>
      <c r="G36" s="19"/>
      <c r="H36" s="19" t="n">
        <v>80</v>
      </c>
      <c r="I36" s="19"/>
      <c r="J36" s="19"/>
      <c r="K36" s="19"/>
      <c r="L36" s="19"/>
      <c r="M36" s="19"/>
      <c r="N36" s="20" t="n">
        <f aca="false">SUM(C36:M36)</f>
        <v>80</v>
      </c>
      <c r="O36" s="21" t="n">
        <f aca="false">SUMPRODUCT(C36:M36,$C$4:$M$4)</f>
        <v>280000</v>
      </c>
    </row>
    <row r="37" customFormat="false" ht="15" hidden="false" customHeight="false" outlineLevel="0" collapsed="false">
      <c r="A37" s="5" t="s">
        <v>96</v>
      </c>
      <c r="B37" s="5" t="s">
        <v>97</v>
      </c>
      <c r="C37" s="19"/>
      <c r="D37" s="19"/>
      <c r="E37" s="19"/>
      <c r="F37" s="19"/>
      <c r="G37" s="19"/>
      <c r="H37" s="19"/>
      <c r="I37" s="19" t="n">
        <v>100</v>
      </c>
      <c r="J37" s="19"/>
      <c r="K37" s="19"/>
      <c r="L37" s="19"/>
      <c r="M37" s="19"/>
      <c r="N37" s="20" t="n">
        <f aca="false">SUM(C37:M37)</f>
        <v>100</v>
      </c>
      <c r="O37" s="21" t="n">
        <f aca="false">SUMPRODUCT(C37:M37,$C$4:$M$4)</f>
        <v>350000</v>
      </c>
    </row>
    <row r="38" customFormat="false" ht="15" hidden="false" customHeight="false" outlineLevel="0" collapsed="false">
      <c r="A38" s="5" t="s">
        <v>98</v>
      </c>
      <c r="B38" s="5" t="s">
        <v>99</v>
      </c>
      <c r="C38" s="19"/>
      <c r="D38" s="19"/>
      <c r="E38" s="19"/>
      <c r="F38" s="19"/>
      <c r="G38" s="19"/>
      <c r="H38" s="19"/>
      <c r="I38" s="19" t="n">
        <v>160</v>
      </c>
      <c r="J38" s="19"/>
      <c r="K38" s="19"/>
      <c r="L38" s="19"/>
      <c r="M38" s="19"/>
      <c r="N38" s="20" t="n">
        <f aca="false">SUM(C38:M38)</f>
        <v>160</v>
      </c>
      <c r="O38" s="21" t="n">
        <f aca="false">SUMPRODUCT(C38:M38,$C$4:$M$4)</f>
        <v>560000</v>
      </c>
    </row>
    <row r="39" customFormat="false" ht="15" hidden="false" customHeight="false" outlineLevel="0" collapsed="false">
      <c r="A39" s="5" t="s">
        <v>100</v>
      </c>
      <c r="B39" s="5" t="s">
        <v>101</v>
      </c>
      <c r="C39" s="19"/>
      <c r="D39" s="19"/>
      <c r="E39" s="19"/>
      <c r="F39" s="19"/>
      <c r="G39" s="19"/>
      <c r="H39" s="19"/>
      <c r="I39" s="19" t="n">
        <v>40</v>
      </c>
      <c r="J39" s="19"/>
      <c r="K39" s="19"/>
      <c r="L39" s="19"/>
      <c r="M39" s="19"/>
      <c r="N39" s="20" t="n">
        <f aca="false">SUM(C39:M39)</f>
        <v>40</v>
      </c>
      <c r="O39" s="21" t="n">
        <f aca="false">SUMPRODUCT(C39:M39,$C$4:$M$4)</f>
        <v>140000</v>
      </c>
    </row>
    <row r="40" customFormat="false" ht="15" hidden="false" customHeight="false" outlineLevel="0" collapsed="false">
      <c r="A40" s="5" t="s">
        <v>102</v>
      </c>
      <c r="B40" s="5" t="s">
        <v>103</v>
      </c>
      <c r="C40" s="19"/>
      <c r="D40" s="19"/>
      <c r="E40" s="19"/>
      <c r="F40" s="19"/>
      <c r="G40" s="19"/>
      <c r="H40" s="19"/>
      <c r="I40" s="19" t="n">
        <v>160</v>
      </c>
      <c r="J40" s="19"/>
      <c r="K40" s="19"/>
      <c r="L40" s="19"/>
      <c r="M40" s="19"/>
      <c r="N40" s="20" t="n">
        <f aca="false">SUM(C40:M40)</f>
        <v>160</v>
      </c>
      <c r="O40" s="21" t="n">
        <f aca="false">SUMPRODUCT(C40:M40,$C$4:$M$4)</f>
        <v>560000</v>
      </c>
    </row>
    <row r="41" customFormat="false" ht="15" hidden="false" customHeight="false" outlineLevel="0" collapsed="false">
      <c r="A41" s="5" t="s">
        <v>104</v>
      </c>
      <c r="B41" s="5" t="s">
        <v>105</v>
      </c>
      <c r="C41" s="19"/>
      <c r="D41" s="19"/>
      <c r="E41" s="19"/>
      <c r="F41" s="19"/>
      <c r="G41" s="19"/>
      <c r="H41" s="19"/>
      <c r="I41" s="19" t="n">
        <v>60</v>
      </c>
      <c r="J41" s="19"/>
      <c r="K41" s="19"/>
      <c r="L41" s="19"/>
      <c r="M41" s="19"/>
      <c r="N41" s="20" t="n">
        <f aca="false">SUM(C41:M41)</f>
        <v>60</v>
      </c>
      <c r="O41" s="21" t="n">
        <f aca="false">SUMPRODUCT(C41:M41,$C$4:$M$4)</f>
        <v>210000</v>
      </c>
    </row>
    <row r="42" customFormat="false" ht="15" hidden="false" customHeight="false" outlineLevel="0" collapsed="false">
      <c r="A42" s="5" t="s">
        <v>106</v>
      </c>
      <c r="B42" s="5" t="s">
        <v>107</v>
      </c>
      <c r="C42" s="19"/>
      <c r="D42" s="19"/>
      <c r="E42" s="19"/>
      <c r="F42" s="19"/>
      <c r="G42" s="19"/>
      <c r="H42" s="19"/>
      <c r="I42" s="19" t="n">
        <v>100</v>
      </c>
      <c r="J42" s="19"/>
      <c r="K42" s="19"/>
      <c r="L42" s="19"/>
      <c r="M42" s="19"/>
      <c r="N42" s="20" t="n">
        <f aca="false">SUM(C42:M42)</f>
        <v>100</v>
      </c>
      <c r="O42" s="21" t="n">
        <f aca="false">SUMPRODUCT(C42:M42,$C$4:$M$4)</f>
        <v>350000</v>
      </c>
    </row>
    <row r="43" customFormat="false" ht="15" hidden="false" customHeight="false" outlineLevel="0" collapsed="false">
      <c r="A43" s="5" t="s">
        <v>108</v>
      </c>
      <c r="B43" s="5" t="s">
        <v>109</v>
      </c>
      <c r="C43" s="19"/>
      <c r="D43" s="19"/>
      <c r="E43" s="19"/>
      <c r="F43" s="19"/>
      <c r="G43" s="19"/>
      <c r="H43" s="19"/>
      <c r="I43" s="19" t="n">
        <v>80</v>
      </c>
      <c r="J43" s="19"/>
      <c r="K43" s="19"/>
      <c r="L43" s="19"/>
      <c r="M43" s="19"/>
      <c r="N43" s="20" t="n">
        <f aca="false">SUM(C43:M43)</f>
        <v>80</v>
      </c>
      <c r="O43" s="21" t="n">
        <f aca="false">SUMPRODUCT(C43:M43,$C$4:$M$4)</f>
        <v>280000</v>
      </c>
    </row>
    <row r="44" customFormat="false" ht="15" hidden="false" customHeight="false" outlineLevel="0" collapsed="false">
      <c r="A44" s="5" t="s">
        <v>110</v>
      </c>
      <c r="B44" s="5" t="s">
        <v>111</v>
      </c>
      <c r="C44" s="19"/>
      <c r="D44" s="19"/>
      <c r="E44" s="19"/>
      <c r="F44" s="19"/>
      <c r="G44" s="19"/>
      <c r="H44" s="19"/>
      <c r="I44" s="19" t="n">
        <v>80</v>
      </c>
      <c r="J44" s="19"/>
      <c r="K44" s="19"/>
      <c r="L44" s="19"/>
      <c r="M44" s="19"/>
      <c r="N44" s="20" t="n">
        <f aca="false">SUM(C44:M44)</f>
        <v>80</v>
      </c>
      <c r="O44" s="21" t="n">
        <f aca="false">SUMPRODUCT(C44:M44,$C$4:$M$4)</f>
        <v>280000</v>
      </c>
    </row>
    <row r="45" customFormat="false" ht="15" hidden="false" customHeight="false" outlineLevel="0" collapsed="false">
      <c r="A45" s="5" t="s">
        <v>112</v>
      </c>
      <c r="B45" s="5" t="s">
        <v>113</v>
      </c>
      <c r="C45" s="19"/>
      <c r="D45" s="19"/>
      <c r="E45" s="19"/>
      <c r="F45" s="19"/>
      <c r="G45" s="19"/>
      <c r="H45" s="19"/>
      <c r="I45" s="19" t="n">
        <v>30</v>
      </c>
      <c r="J45" s="19"/>
      <c r="K45" s="19"/>
      <c r="L45" s="19"/>
      <c r="M45" s="19"/>
      <c r="N45" s="20" t="n">
        <f aca="false">SUM(C45:M45)</f>
        <v>30</v>
      </c>
      <c r="O45" s="21" t="n">
        <f aca="false">SUMPRODUCT(C45:M45,$C$4:$M$4)</f>
        <v>105000</v>
      </c>
    </row>
    <row r="46" customFormat="false" ht="15" hidden="false" customHeight="false" outlineLevel="0" collapsed="false">
      <c r="A46" s="5" t="s">
        <v>114</v>
      </c>
      <c r="B46" s="5" t="s">
        <v>115</v>
      </c>
      <c r="C46" s="19"/>
      <c r="D46" s="19"/>
      <c r="E46" s="19"/>
      <c r="F46" s="19"/>
      <c r="G46" s="19"/>
      <c r="H46" s="19"/>
      <c r="I46" s="19" t="n">
        <v>60</v>
      </c>
      <c r="J46" s="19"/>
      <c r="K46" s="19"/>
      <c r="L46" s="19"/>
      <c r="M46" s="19"/>
      <c r="N46" s="20" t="n">
        <f aca="false">SUM(C46:M46)</f>
        <v>60</v>
      </c>
      <c r="O46" s="21" t="n">
        <f aca="false">SUMPRODUCT(C46:M46,$C$4:$M$4)</f>
        <v>210000</v>
      </c>
    </row>
    <row r="47" customFormat="false" ht="15" hidden="false" customHeight="false" outlineLevel="0" collapsed="false">
      <c r="A47" s="5" t="s">
        <v>116</v>
      </c>
      <c r="B47" s="5" t="s">
        <v>117</v>
      </c>
      <c r="C47" s="19"/>
      <c r="D47" s="19"/>
      <c r="E47" s="19"/>
      <c r="F47" s="19"/>
      <c r="G47" s="19"/>
      <c r="H47" s="19"/>
      <c r="I47" s="19" t="n">
        <v>120</v>
      </c>
      <c r="J47" s="19"/>
      <c r="K47" s="19"/>
      <c r="L47" s="19"/>
      <c r="M47" s="19"/>
      <c r="N47" s="20" t="n">
        <f aca="false">SUM(C47:M47)</f>
        <v>120</v>
      </c>
      <c r="O47" s="21" t="n">
        <f aca="false">SUMPRODUCT(C47:M47,$C$4:$M$4)</f>
        <v>420000</v>
      </c>
    </row>
    <row r="48" customFormat="false" ht="15" hidden="false" customHeight="false" outlineLevel="0" collapsed="false">
      <c r="A48" s="5" t="s">
        <v>118</v>
      </c>
      <c r="B48" s="5" t="s">
        <v>119</v>
      </c>
      <c r="C48" s="19"/>
      <c r="D48" s="19"/>
      <c r="E48" s="19"/>
      <c r="F48" s="19"/>
      <c r="G48" s="19"/>
      <c r="H48" s="19"/>
      <c r="I48" s="19" t="n">
        <v>60</v>
      </c>
      <c r="J48" s="19"/>
      <c r="K48" s="19"/>
      <c r="L48" s="19"/>
      <c r="M48" s="19" t="n">
        <v>40</v>
      </c>
      <c r="N48" s="20" t="n">
        <f aca="false">SUM(C48:M48)</f>
        <v>100</v>
      </c>
      <c r="O48" s="21" t="n">
        <f aca="false">SUMPRODUCT(C48:M48,$C$4:$M$4)</f>
        <v>282000</v>
      </c>
    </row>
    <row r="49" customFormat="false" ht="15" hidden="false" customHeight="false" outlineLevel="0" collapsed="false">
      <c r="A49" s="5" t="s">
        <v>120</v>
      </c>
      <c r="B49" s="5" t="s">
        <v>121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 t="n">
        <v>160</v>
      </c>
      <c r="N49" s="20" t="n">
        <f aca="false">SUM(C49:M49)</f>
        <v>160</v>
      </c>
      <c r="O49" s="21" t="n">
        <f aca="false">SUMPRODUCT(C49:M49,$C$4:$M$4)</f>
        <v>288000</v>
      </c>
    </row>
    <row r="50" customFormat="false" ht="15" hidden="false" customHeight="false" outlineLevel="0" collapsed="false">
      <c r="A50" s="5" t="s">
        <v>122</v>
      </c>
      <c r="B50" s="5" t="s">
        <v>123</v>
      </c>
      <c r="C50" s="19"/>
      <c r="D50" s="19"/>
      <c r="E50" s="19"/>
      <c r="F50" s="19"/>
      <c r="G50" s="19"/>
      <c r="H50" s="19"/>
      <c r="I50" s="19" t="n">
        <v>30</v>
      </c>
      <c r="J50" s="19"/>
      <c r="K50" s="19"/>
      <c r="L50" s="19" t="n">
        <v>50</v>
      </c>
      <c r="M50" s="19"/>
      <c r="N50" s="20" t="n">
        <f aca="false">SUM(C50:M50)</f>
        <v>80</v>
      </c>
      <c r="O50" s="21" t="n">
        <f aca="false">SUMPRODUCT(C50:M50,$C$4:$M$4)</f>
        <v>255000</v>
      </c>
    </row>
    <row r="51" customFormat="false" ht="15" hidden="false" customHeight="false" outlineLevel="0" collapsed="false">
      <c r="A51" s="5" t="s">
        <v>124</v>
      </c>
      <c r="B51" s="5" t="s">
        <v>125</v>
      </c>
      <c r="C51" s="19"/>
      <c r="D51" s="19"/>
      <c r="E51" s="19"/>
      <c r="F51" s="19"/>
      <c r="G51" s="19"/>
      <c r="H51" s="19"/>
      <c r="I51" s="19"/>
      <c r="J51" s="19" t="n">
        <v>100</v>
      </c>
      <c r="K51" s="19"/>
      <c r="L51" s="19"/>
      <c r="M51" s="19"/>
      <c r="N51" s="20" t="n">
        <f aca="false">SUM(C51:M51)</f>
        <v>100</v>
      </c>
      <c r="O51" s="21" t="n">
        <f aca="false">SUMPRODUCT(C51:M51,$C$4:$M$4)</f>
        <v>400000</v>
      </c>
    </row>
    <row r="52" customFormat="false" ht="15" hidden="false" customHeight="false" outlineLevel="0" collapsed="false">
      <c r="A52" s="5" t="s">
        <v>126</v>
      </c>
      <c r="B52" s="5" t="s">
        <v>127</v>
      </c>
      <c r="C52" s="19"/>
      <c r="D52" s="19"/>
      <c r="E52" s="19"/>
      <c r="F52" s="19"/>
      <c r="G52" s="19"/>
      <c r="H52" s="19"/>
      <c r="I52" s="19"/>
      <c r="J52" s="19" t="n">
        <v>60</v>
      </c>
      <c r="K52" s="19"/>
      <c r="L52" s="19"/>
      <c r="M52" s="19"/>
      <c r="N52" s="20" t="n">
        <f aca="false">SUM(C52:M52)</f>
        <v>60</v>
      </c>
      <c r="O52" s="21" t="n">
        <f aca="false">SUMPRODUCT(C52:M52,$C$4:$M$4)</f>
        <v>240000</v>
      </c>
    </row>
    <row r="53" customFormat="false" ht="15" hidden="false" customHeight="false" outlineLevel="0" collapsed="false">
      <c r="A53" s="5" t="s">
        <v>128</v>
      </c>
      <c r="B53" s="5" t="s">
        <v>129</v>
      </c>
      <c r="C53" s="19"/>
      <c r="D53" s="19"/>
      <c r="E53" s="19"/>
      <c r="F53" s="19"/>
      <c r="G53" s="19"/>
      <c r="H53" s="19"/>
      <c r="I53" s="19"/>
      <c r="J53" s="19" t="n">
        <v>40</v>
      </c>
      <c r="K53" s="19"/>
      <c r="L53" s="19"/>
      <c r="M53" s="19"/>
      <c r="N53" s="20" t="n">
        <f aca="false">SUM(C53:M53)</f>
        <v>40</v>
      </c>
      <c r="O53" s="21" t="n">
        <f aca="false">SUMPRODUCT(C53:M53,$C$4:$M$4)</f>
        <v>160000</v>
      </c>
    </row>
    <row r="54" customFormat="false" ht="15" hidden="false" customHeight="false" outlineLevel="0" collapsed="false">
      <c r="A54" s="5" t="s">
        <v>130</v>
      </c>
      <c r="B54" s="5" t="s">
        <v>131</v>
      </c>
      <c r="C54" s="19"/>
      <c r="D54" s="19"/>
      <c r="E54" s="19"/>
      <c r="F54" s="19"/>
      <c r="G54" s="19"/>
      <c r="H54" s="19"/>
      <c r="I54" s="19"/>
      <c r="J54" s="19" t="n">
        <v>60</v>
      </c>
      <c r="K54" s="19"/>
      <c r="L54" s="19"/>
      <c r="M54" s="19"/>
      <c r="N54" s="20" t="n">
        <f aca="false">SUM(C54:M54)</f>
        <v>60</v>
      </c>
      <c r="O54" s="21" t="n">
        <f aca="false">SUMPRODUCT(C54:M54,$C$4:$M$4)</f>
        <v>240000</v>
      </c>
    </row>
    <row r="55" customFormat="false" ht="15" hidden="false" customHeight="false" outlineLevel="0" collapsed="false">
      <c r="A55" s="5" t="s">
        <v>132</v>
      </c>
      <c r="B55" s="5" t="s">
        <v>133</v>
      </c>
      <c r="C55" s="19"/>
      <c r="D55" s="19"/>
      <c r="E55" s="19"/>
      <c r="F55" s="19"/>
      <c r="G55" s="19"/>
      <c r="H55" s="19"/>
      <c r="I55" s="19"/>
      <c r="J55" s="19" t="n">
        <v>40</v>
      </c>
      <c r="K55" s="19"/>
      <c r="L55" s="19"/>
      <c r="M55" s="19"/>
      <c r="N55" s="20" t="n">
        <f aca="false">SUM(C55:M55)</f>
        <v>40</v>
      </c>
      <c r="O55" s="21" t="n">
        <f aca="false">SUMPRODUCT(C55:M55,$C$4:$M$4)</f>
        <v>160000</v>
      </c>
    </row>
    <row r="56" customFormat="false" ht="15" hidden="false" customHeight="false" outlineLevel="0" collapsed="false">
      <c r="A56" s="5" t="s">
        <v>134</v>
      </c>
      <c r="B56" s="5" t="s">
        <v>135</v>
      </c>
      <c r="C56" s="19"/>
      <c r="D56" s="19"/>
      <c r="E56" s="19"/>
      <c r="F56" s="19"/>
      <c r="G56" s="19"/>
      <c r="H56" s="19"/>
      <c r="I56" s="19"/>
      <c r="J56" s="19" t="n">
        <v>40</v>
      </c>
      <c r="K56" s="19"/>
      <c r="L56" s="19"/>
      <c r="M56" s="19"/>
      <c r="N56" s="20" t="n">
        <f aca="false">SUM(C56:M56)</f>
        <v>40</v>
      </c>
      <c r="O56" s="21" t="n">
        <f aca="false">SUMPRODUCT(C56:M56,$C$4:$M$4)</f>
        <v>160000</v>
      </c>
    </row>
    <row r="57" customFormat="false" ht="15" hidden="false" customHeight="false" outlineLevel="0" collapsed="false">
      <c r="A57" s="5" t="s">
        <v>136</v>
      </c>
      <c r="B57" s="5" t="s">
        <v>137</v>
      </c>
      <c r="C57" s="19"/>
      <c r="D57" s="19"/>
      <c r="E57" s="19"/>
      <c r="F57" s="19"/>
      <c r="G57" s="19"/>
      <c r="H57" s="19"/>
      <c r="I57" s="19"/>
      <c r="J57" s="19"/>
      <c r="K57" s="19" t="n">
        <v>40</v>
      </c>
      <c r="L57" s="19"/>
      <c r="M57" s="19"/>
      <c r="N57" s="20" t="n">
        <f aca="false">SUM(C57:M57)</f>
        <v>40</v>
      </c>
      <c r="O57" s="21" t="n">
        <f aca="false">SUMPRODUCT(C57:M57,$C$4:$M$4)</f>
        <v>100000</v>
      </c>
    </row>
    <row r="58" customFormat="false" ht="15" hidden="false" customHeight="false" outlineLevel="0" collapsed="false">
      <c r="A58" s="5" t="s">
        <v>138</v>
      </c>
      <c r="B58" s="5" t="s">
        <v>139</v>
      </c>
      <c r="C58" s="19"/>
      <c r="D58" s="19"/>
      <c r="E58" s="19"/>
      <c r="F58" s="19"/>
      <c r="G58" s="19"/>
      <c r="H58" s="19"/>
      <c r="I58" s="19"/>
      <c r="J58" s="19"/>
      <c r="K58" s="19" t="n">
        <v>240</v>
      </c>
      <c r="L58" s="19"/>
      <c r="M58" s="19"/>
      <c r="N58" s="20" t="n">
        <f aca="false">SUM(C58:M58)</f>
        <v>240</v>
      </c>
      <c r="O58" s="21" t="n">
        <f aca="false">SUMPRODUCT(C58:M58,$C$4:$M$4)</f>
        <v>600000</v>
      </c>
    </row>
    <row r="59" customFormat="false" ht="15" hidden="false" customHeight="false" outlineLevel="0" collapsed="false">
      <c r="A59" s="5" t="s">
        <v>140</v>
      </c>
      <c r="B59" s="5" t="s">
        <v>141</v>
      </c>
      <c r="C59" s="19"/>
      <c r="D59" s="19"/>
      <c r="E59" s="19"/>
      <c r="F59" s="19"/>
      <c r="G59" s="19"/>
      <c r="H59" s="19"/>
      <c r="I59" s="19"/>
      <c r="J59" s="19"/>
      <c r="K59" s="19" t="n">
        <v>80</v>
      </c>
      <c r="L59" s="19"/>
      <c r="M59" s="19"/>
      <c r="N59" s="20" t="n">
        <f aca="false">SUM(C59:M59)</f>
        <v>80</v>
      </c>
      <c r="O59" s="21" t="n">
        <f aca="false">SUMPRODUCT(C59:M59,$C$4:$M$4)</f>
        <v>200000</v>
      </c>
    </row>
    <row r="60" customFormat="false" ht="15" hidden="false" customHeight="false" outlineLevel="0" collapsed="false">
      <c r="A60" s="5" t="s">
        <v>142</v>
      </c>
      <c r="B60" s="5" t="s">
        <v>143</v>
      </c>
      <c r="C60" s="19"/>
      <c r="D60" s="19"/>
      <c r="E60" s="19"/>
      <c r="F60" s="19"/>
      <c r="G60" s="19"/>
      <c r="H60" s="19"/>
      <c r="I60" s="19"/>
      <c r="J60" s="19"/>
      <c r="K60" s="19" t="n">
        <v>80</v>
      </c>
      <c r="L60" s="19"/>
      <c r="M60" s="19"/>
      <c r="N60" s="20" t="n">
        <f aca="false">SUM(C60:M60)</f>
        <v>80</v>
      </c>
      <c r="O60" s="21" t="n">
        <f aca="false">SUMPRODUCT(C60:M60,$C$4:$M$4)</f>
        <v>200000</v>
      </c>
    </row>
    <row r="61" customFormat="false" ht="15" hidden="false" customHeight="false" outlineLevel="0" collapsed="false">
      <c r="A61" s="5" t="s">
        <v>144</v>
      </c>
      <c r="B61" s="5" t="s">
        <v>145</v>
      </c>
      <c r="C61" s="19"/>
      <c r="D61" s="19"/>
      <c r="E61" s="19"/>
      <c r="F61" s="19"/>
      <c r="G61" s="19"/>
      <c r="H61" s="19"/>
      <c r="I61" s="19"/>
      <c r="J61" s="19"/>
      <c r="K61" s="19" t="n">
        <v>60</v>
      </c>
      <c r="L61" s="19"/>
      <c r="M61" s="19"/>
      <c r="N61" s="20" t="n">
        <f aca="false">SUM(C61:M61)</f>
        <v>60</v>
      </c>
      <c r="O61" s="21" t="n">
        <f aca="false">SUMPRODUCT(C61:M61,$C$4:$M$4)</f>
        <v>150000</v>
      </c>
    </row>
    <row r="62" customFormat="false" ht="15" hidden="false" customHeight="false" outlineLevel="0" collapsed="false">
      <c r="A62" s="5" t="s">
        <v>146</v>
      </c>
      <c r="B62" s="5" t="s">
        <v>147</v>
      </c>
      <c r="C62" s="19" t="n">
        <v>300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 t="n">
        <f aca="false">SUM(C62:M62)</f>
        <v>300</v>
      </c>
      <c r="O62" s="21" t="n">
        <f aca="false">SUMPRODUCT(C62:M62,$C$4:$M$4)</f>
        <v>900000</v>
      </c>
    </row>
    <row r="63" customFormat="false" ht="15" hidden="false" customHeight="false" outlineLevel="0" collapsed="false">
      <c r="A63" s="5" t="s">
        <v>148</v>
      </c>
      <c r="B63" s="5" t="s">
        <v>149</v>
      </c>
      <c r="C63" s="19"/>
      <c r="D63" s="19"/>
      <c r="E63" s="19"/>
      <c r="F63" s="19"/>
      <c r="G63" s="19" t="n">
        <v>200</v>
      </c>
      <c r="H63" s="19"/>
      <c r="I63" s="19"/>
      <c r="J63" s="19"/>
      <c r="K63" s="19"/>
      <c r="L63" s="19"/>
      <c r="M63" s="19"/>
      <c r="N63" s="20" t="n">
        <f aca="false">SUM(C63:M63)</f>
        <v>200</v>
      </c>
      <c r="O63" s="21" t="n">
        <f aca="false">SUMPRODUCT(C63:M63,$C$4:$M$4)</f>
        <v>900000</v>
      </c>
    </row>
    <row r="64" customFormat="false" ht="15" hidden="false" customHeight="false" outlineLevel="0" collapsed="false">
      <c r="A64" s="5" t="s">
        <v>150</v>
      </c>
      <c r="B64" s="5" t="s">
        <v>151</v>
      </c>
      <c r="C64" s="19"/>
      <c r="D64" s="19" t="n">
        <v>120</v>
      </c>
      <c r="E64" s="19"/>
      <c r="F64" s="19"/>
      <c r="G64" s="19"/>
      <c r="H64" s="19"/>
      <c r="I64" s="19"/>
      <c r="J64" s="19"/>
      <c r="K64" s="19"/>
      <c r="L64" s="19"/>
      <c r="M64" s="19"/>
      <c r="N64" s="20" t="n">
        <f aca="false">SUM(C64:M64)</f>
        <v>120</v>
      </c>
      <c r="O64" s="21" t="n">
        <f aca="false">SUMPRODUCT(C64:M64,$C$4:$M$4)</f>
        <v>360000</v>
      </c>
    </row>
    <row r="65" customFormat="false" ht="15" hidden="false" customHeight="false" outlineLevel="0" collapsed="false">
      <c r="A65" s="5" t="s">
        <v>152</v>
      </c>
      <c r="B65" s="5" t="s">
        <v>153</v>
      </c>
      <c r="C65" s="19"/>
      <c r="D65" s="19"/>
      <c r="E65" s="19" t="n">
        <v>80</v>
      </c>
      <c r="F65" s="19" t="n">
        <v>20</v>
      </c>
      <c r="G65" s="19"/>
      <c r="H65" s="19"/>
      <c r="I65" s="19"/>
      <c r="J65" s="19"/>
      <c r="K65" s="19"/>
      <c r="L65" s="19"/>
      <c r="M65" s="19"/>
      <c r="N65" s="20" t="n">
        <f aca="false">SUM(C65:M65)</f>
        <v>100</v>
      </c>
      <c r="O65" s="21" t="n">
        <f aca="false">SUMPRODUCT(C65:M65,$C$4:$M$4)</f>
        <v>330000</v>
      </c>
    </row>
    <row r="66" customFormat="false" ht="15" hidden="false" customHeight="false" outlineLevel="0" collapsed="false">
      <c r="A66" s="15"/>
      <c r="B66" s="16" t="s">
        <v>154</v>
      </c>
      <c r="C66" s="17" t="n">
        <f aca="false">SUM(C67:C73)</f>
        <v>40</v>
      </c>
      <c r="D66" s="17" t="n">
        <f aca="false">SUM(D67:D73)</f>
        <v>0</v>
      </c>
      <c r="E66" s="17" t="n">
        <f aca="false">SUM(E67:E73)</f>
        <v>0</v>
      </c>
      <c r="F66" s="17" t="n">
        <f aca="false">SUM(F67:F73)</f>
        <v>0</v>
      </c>
      <c r="G66" s="17" t="n">
        <f aca="false">SUM(G67:G73)</f>
        <v>0</v>
      </c>
      <c r="H66" s="17" t="n">
        <f aca="false">SUM(H67:H73)</f>
        <v>120</v>
      </c>
      <c r="I66" s="17" t="n">
        <f aca="false">SUM(I67:I73)</f>
        <v>140</v>
      </c>
      <c r="J66" s="17" t="n">
        <f aca="false">SUM(J67:J73)</f>
        <v>140</v>
      </c>
      <c r="K66" s="17" t="n">
        <f aca="false">SUM(K67:K73)</f>
        <v>100</v>
      </c>
      <c r="L66" s="17" t="n">
        <f aca="false">SUM(L67:L73)</f>
        <v>40</v>
      </c>
      <c r="M66" s="17" t="n">
        <f aca="false">SUM(M67:M73)</f>
        <v>0</v>
      </c>
      <c r="N66" s="17" t="n">
        <f aca="false">SUM(N67:N73)</f>
        <v>580</v>
      </c>
      <c r="O66" s="18" t="n">
        <f aca="false">SUM(O67:O73)</f>
        <v>1960000</v>
      </c>
    </row>
    <row r="67" customFormat="false" ht="15" hidden="false" customHeight="false" outlineLevel="0" collapsed="false">
      <c r="A67" s="5" t="s">
        <v>155</v>
      </c>
      <c r="B67" s="5" t="s">
        <v>156</v>
      </c>
      <c r="C67" s="19"/>
      <c r="D67" s="19"/>
      <c r="E67" s="19"/>
      <c r="F67" s="19"/>
      <c r="G67" s="19"/>
      <c r="H67" s="19"/>
      <c r="I67" s="19"/>
      <c r="J67" s="19" t="n">
        <v>40</v>
      </c>
      <c r="K67" s="19" t="n">
        <v>60</v>
      </c>
      <c r="L67" s="19"/>
      <c r="M67" s="19"/>
      <c r="N67" s="20" t="n">
        <f aca="false">SUM(C67:M67)</f>
        <v>100</v>
      </c>
      <c r="O67" s="21" t="n">
        <f aca="false">SUMPRODUCT(C67:M67,$C$4:$M$4)</f>
        <v>310000</v>
      </c>
    </row>
    <row r="68" customFormat="false" ht="15" hidden="false" customHeight="false" outlineLevel="0" collapsed="false">
      <c r="A68" s="5" t="s">
        <v>157</v>
      </c>
      <c r="B68" s="5" t="s">
        <v>158</v>
      </c>
      <c r="C68" s="19"/>
      <c r="D68" s="19"/>
      <c r="E68" s="19"/>
      <c r="F68" s="19"/>
      <c r="G68" s="19"/>
      <c r="H68" s="19"/>
      <c r="I68" s="19" t="n">
        <v>40</v>
      </c>
      <c r="J68" s="19" t="n">
        <v>60</v>
      </c>
      <c r="K68" s="19"/>
      <c r="L68" s="19"/>
      <c r="M68" s="19"/>
      <c r="N68" s="20" t="n">
        <f aca="false">SUM(C68:M68)</f>
        <v>100</v>
      </c>
      <c r="O68" s="21" t="n">
        <f aca="false">SUMPRODUCT(C68:M68,$C$4:$M$4)</f>
        <v>380000</v>
      </c>
    </row>
    <row r="69" customFormat="false" ht="15" hidden="false" customHeight="false" outlineLevel="0" collapsed="false">
      <c r="A69" s="5" t="s">
        <v>159</v>
      </c>
      <c r="B69" s="5" t="s">
        <v>160</v>
      </c>
      <c r="C69" s="19"/>
      <c r="D69" s="19"/>
      <c r="E69" s="19"/>
      <c r="F69" s="19"/>
      <c r="G69" s="19"/>
      <c r="H69" s="19" t="n">
        <v>60</v>
      </c>
      <c r="I69" s="19" t="n">
        <v>60</v>
      </c>
      <c r="J69" s="19"/>
      <c r="K69" s="19"/>
      <c r="L69" s="19"/>
      <c r="M69" s="19"/>
      <c r="N69" s="20" t="n">
        <f aca="false">SUM(C69:M69)</f>
        <v>120</v>
      </c>
      <c r="O69" s="21" t="n">
        <f aca="false">SUMPRODUCT(C69:M69,$C$4:$M$4)</f>
        <v>420000</v>
      </c>
    </row>
    <row r="70" customFormat="false" ht="15" hidden="false" customHeight="false" outlineLevel="0" collapsed="false">
      <c r="A70" s="5" t="s">
        <v>161</v>
      </c>
      <c r="B70" s="5" t="s">
        <v>162</v>
      </c>
      <c r="C70" s="19"/>
      <c r="D70" s="19"/>
      <c r="E70" s="19"/>
      <c r="F70" s="19"/>
      <c r="G70" s="19"/>
      <c r="H70" s="19"/>
      <c r="I70" s="19"/>
      <c r="J70" s="19" t="n">
        <v>40</v>
      </c>
      <c r="K70" s="19"/>
      <c r="L70" s="19"/>
      <c r="M70" s="19"/>
      <c r="N70" s="20" t="n">
        <f aca="false">SUM(C70:M70)</f>
        <v>40</v>
      </c>
      <c r="O70" s="21" t="n">
        <f aca="false">SUMPRODUCT(C70:M70,$C$4:$M$4)</f>
        <v>160000</v>
      </c>
    </row>
    <row r="71" customFormat="false" ht="15" hidden="false" customHeight="false" outlineLevel="0" collapsed="false">
      <c r="A71" s="5" t="s">
        <v>163</v>
      </c>
      <c r="B71" s="5" t="s">
        <v>164</v>
      </c>
      <c r="C71" s="19"/>
      <c r="D71" s="19"/>
      <c r="E71" s="19"/>
      <c r="F71" s="19"/>
      <c r="G71" s="19"/>
      <c r="H71" s="19"/>
      <c r="I71" s="19"/>
      <c r="J71" s="19"/>
      <c r="K71" s="19"/>
      <c r="L71" s="19" t="n">
        <v>40</v>
      </c>
      <c r="M71" s="19"/>
      <c r="N71" s="20" t="n">
        <f aca="false">SUM(C71:M71)</f>
        <v>40</v>
      </c>
      <c r="O71" s="21" t="n">
        <f aca="false">SUMPRODUCT(C71:M71,$C$4:$M$4)</f>
        <v>120000</v>
      </c>
    </row>
    <row r="72" customFormat="false" ht="15" hidden="false" customHeight="false" outlineLevel="0" collapsed="false">
      <c r="A72" s="5" t="s">
        <v>165</v>
      </c>
      <c r="B72" s="5" t="s">
        <v>166</v>
      </c>
      <c r="C72" s="19"/>
      <c r="D72" s="19"/>
      <c r="E72" s="19"/>
      <c r="F72" s="19"/>
      <c r="G72" s="19"/>
      <c r="H72" s="19" t="n">
        <v>60</v>
      </c>
      <c r="I72" s="19" t="n">
        <v>40</v>
      </c>
      <c r="J72" s="19"/>
      <c r="K72" s="19" t="n">
        <v>40</v>
      </c>
      <c r="L72" s="19"/>
      <c r="M72" s="19"/>
      <c r="N72" s="20" t="n">
        <f aca="false">SUM(C72:M72)</f>
        <v>140</v>
      </c>
      <c r="O72" s="21" t="n">
        <f aca="false">SUMPRODUCT(C72:M72,$C$4:$M$4)</f>
        <v>450000</v>
      </c>
    </row>
    <row r="73" customFormat="false" ht="15" hidden="false" customHeight="false" outlineLevel="0" collapsed="false">
      <c r="A73" s="5" t="s">
        <v>167</v>
      </c>
      <c r="B73" s="5" t="s">
        <v>66</v>
      </c>
      <c r="C73" s="19" t="n">
        <v>40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0" t="n">
        <f aca="false">SUM(C73:M73)</f>
        <v>40</v>
      </c>
      <c r="O73" s="21" t="n">
        <f aca="false">SUMPRODUCT(C73:M73,$C$4:$M$4)</f>
        <v>120000</v>
      </c>
    </row>
    <row r="74" customFormat="false" ht="15" hidden="false" customHeight="false" outlineLevel="0" collapsed="false">
      <c r="A74" s="15"/>
      <c r="B74" s="16" t="s">
        <v>168</v>
      </c>
      <c r="C74" s="17" t="n">
        <f aca="false">SUM(C75:C80)</f>
        <v>80</v>
      </c>
      <c r="D74" s="17" t="n">
        <f aca="false">SUM(D75:D80)</f>
        <v>0</v>
      </c>
      <c r="E74" s="17" t="n">
        <f aca="false">SUM(E75:E80)</f>
        <v>0</v>
      </c>
      <c r="F74" s="17" t="n">
        <f aca="false">SUM(F75:F80)</f>
        <v>0</v>
      </c>
      <c r="G74" s="17" t="n">
        <f aca="false">SUM(G75:G80)</f>
        <v>0</v>
      </c>
      <c r="H74" s="17" t="n">
        <f aca="false">SUM(H75:H80)</f>
        <v>60</v>
      </c>
      <c r="I74" s="17" t="n">
        <f aca="false">SUM(I75:I80)</f>
        <v>60</v>
      </c>
      <c r="J74" s="17" t="n">
        <f aca="false">SUM(J75:J80)</f>
        <v>100</v>
      </c>
      <c r="K74" s="17" t="n">
        <f aca="false">SUM(K75:K80)</f>
        <v>20</v>
      </c>
      <c r="L74" s="17" t="n">
        <f aca="false">SUM(L75:L80)</f>
        <v>210</v>
      </c>
      <c r="M74" s="17" t="n">
        <f aca="false">SUM(M75:M80)</f>
        <v>0</v>
      </c>
      <c r="N74" s="17" t="n">
        <f aca="false">SUM(N75:N80)</f>
        <v>530</v>
      </c>
      <c r="O74" s="18" t="n">
        <f aca="false">SUM(O75:O80)</f>
        <v>1740000</v>
      </c>
    </row>
    <row r="75" customFormat="false" ht="15" hidden="false" customHeight="false" outlineLevel="0" collapsed="false">
      <c r="A75" s="5" t="s">
        <v>169</v>
      </c>
      <c r="B75" s="5" t="s">
        <v>170</v>
      </c>
      <c r="C75" s="19" t="n">
        <v>20</v>
      </c>
      <c r="D75" s="19"/>
      <c r="E75" s="19"/>
      <c r="F75" s="19"/>
      <c r="G75" s="19"/>
      <c r="H75" s="19"/>
      <c r="I75" s="19"/>
      <c r="J75" s="19" t="n">
        <v>40</v>
      </c>
      <c r="K75" s="19"/>
      <c r="L75" s="19" t="n">
        <v>30</v>
      </c>
      <c r="M75" s="19"/>
      <c r="N75" s="20" t="n">
        <f aca="false">SUM(C75:M75)</f>
        <v>90</v>
      </c>
      <c r="O75" s="21" t="n">
        <f aca="false">SUMPRODUCT(C75:M75,$C$4:$M$4)</f>
        <v>310000</v>
      </c>
    </row>
    <row r="76" customFormat="false" ht="15" hidden="false" customHeight="false" outlineLevel="0" collapsed="false">
      <c r="A76" s="5" t="s">
        <v>171</v>
      </c>
      <c r="B76" s="5" t="s">
        <v>172</v>
      </c>
      <c r="C76" s="19"/>
      <c r="D76" s="19"/>
      <c r="E76" s="19"/>
      <c r="F76" s="19"/>
      <c r="G76" s="19"/>
      <c r="H76" s="19"/>
      <c r="I76" s="19"/>
      <c r="J76" s="19"/>
      <c r="K76" s="19" t="n">
        <v>20</v>
      </c>
      <c r="L76" s="19" t="n">
        <v>40</v>
      </c>
      <c r="M76" s="19"/>
      <c r="N76" s="20" t="n">
        <f aca="false">SUM(C76:M76)</f>
        <v>60</v>
      </c>
      <c r="O76" s="21" t="n">
        <f aca="false">SUMPRODUCT(C76:M76,$C$4:$M$4)</f>
        <v>170000</v>
      </c>
    </row>
    <row r="77" customFormat="false" ht="15" hidden="false" customHeight="false" outlineLevel="0" collapsed="false">
      <c r="A77" s="5" t="s">
        <v>173</v>
      </c>
      <c r="B77" s="5" t="s">
        <v>174</v>
      </c>
      <c r="C77" s="19" t="n">
        <v>30</v>
      </c>
      <c r="D77" s="19"/>
      <c r="E77" s="19"/>
      <c r="F77" s="19"/>
      <c r="G77" s="19"/>
      <c r="H77" s="19"/>
      <c r="I77" s="19"/>
      <c r="J77" s="19" t="n">
        <v>60</v>
      </c>
      <c r="K77" s="19"/>
      <c r="L77" s="19" t="n">
        <v>40</v>
      </c>
      <c r="M77" s="19"/>
      <c r="N77" s="20" t="n">
        <f aca="false">SUM(C77:M77)</f>
        <v>130</v>
      </c>
      <c r="O77" s="21" t="n">
        <f aca="false">SUMPRODUCT(C77:M77,$C$4:$M$4)</f>
        <v>450000</v>
      </c>
    </row>
    <row r="78" customFormat="false" ht="15" hidden="false" customHeight="false" outlineLevel="0" collapsed="false">
      <c r="A78" s="5" t="s">
        <v>175</v>
      </c>
      <c r="B78" s="5" t="s">
        <v>176</v>
      </c>
      <c r="C78" s="19"/>
      <c r="D78" s="19"/>
      <c r="E78" s="19"/>
      <c r="F78" s="19"/>
      <c r="G78" s="19"/>
      <c r="H78" s="19"/>
      <c r="I78" s="19"/>
      <c r="J78" s="19"/>
      <c r="K78" s="19"/>
      <c r="L78" s="19" t="n">
        <v>100</v>
      </c>
      <c r="M78" s="19"/>
      <c r="N78" s="20" t="n">
        <f aca="false">SUM(C78:M78)</f>
        <v>100</v>
      </c>
      <c r="O78" s="21" t="n">
        <f aca="false">SUMPRODUCT(C78:M78,$C$4:$M$4)</f>
        <v>300000</v>
      </c>
    </row>
    <row r="79" customFormat="false" ht="15" hidden="false" customHeight="false" outlineLevel="0" collapsed="false">
      <c r="A79" s="5" t="s">
        <v>177</v>
      </c>
      <c r="B79" s="5" t="s">
        <v>178</v>
      </c>
      <c r="C79" s="19"/>
      <c r="D79" s="19"/>
      <c r="E79" s="19"/>
      <c r="F79" s="19"/>
      <c r="G79" s="19"/>
      <c r="H79" s="19" t="n">
        <v>60</v>
      </c>
      <c r="I79" s="19" t="n">
        <v>60</v>
      </c>
      <c r="J79" s="19"/>
      <c r="K79" s="19"/>
      <c r="L79" s="19"/>
      <c r="M79" s="19"/>
      <c r="N79" s="20" t="n">
        <f aca="false">SUM(C79:M79)</f>
        <v>120</v>
      </c>
      <c r="O79" s="21" t="n">
        <f aca="false">SUMPRODUCT(C79:M79,$C$4:$M$4)</f>
        <v>420000</v>
      </c>
    </row>
    <row r="80" customFormat="false" ht="15" hidden="false" customHeight="false" outlineLevel="0" collapsed="false">
      <c r="A80" s="5" t="s">
        <v>179</v>
      </c>
      <c r="B80" s="5" t="s">
        <v>66</v>
      </c>
      <c r="C80" s="19" t="n">
        <v>30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 t="n">
        <f aca="false">SUM(C80:M80)</f>
        <v>30</v>
      </c>
      <c r="O80" s="21" t="n">
        <f aca="false">SUMPRODUCT(C80:M80,$C$4:$M$4)</f>
        <v>90000</v>
      </c>
    </row>
    <row r="81" customFormat="false" ht="15" hidden="false" customHeight="false" outlineLevel="0" collapsed="false">
      <c r="A81" s="15"/>
      <c r="B81" s="16" t="s">
        <v>180</v>
      </c>
      <c r="C81" s="17" t="n">
        <f aca="false">SUM(C82:C86)</f>
        <v>60</v>
      </c>
      <c r="D81" s="17" t="n">
        <f aca="false">SUM(D82:D86)</f>
        <v>90</v>
      </c>
      <c r="E81" s="17" t="n">
        <f aca="false">SUM(E82:E86)</f>
        <v>0</v>
      </c>
      <c r="F81" s="17" t="n">
        <f aca="false">SUM(F82:F86)</f>
        <v>0</v>
      </c>
      <c r="G81" s="17" t="n">
        <f aca="false">SUM(G82:G86)</f>
        <v>60</v>
      </c>
      <c r="H81" s="17" t="n">
        <f aca="false">SUM(H82:H86)</f>
        <v>30</v>
      </c>
      <c r="I81" s="17" t="n">
        <f aca="false">SUM(I82:I86)</f>
        <v>30</v>
      </c>
      <c r="J81" s="17" t="n">
        <f aca="false">SUM(J82:J86)</f>
        <v>30</v>
      </c>
      <c r="K81" s="17" t="n">
        <f aca="false">SUM(K82:K86)</f>
        <v>0</v>
      </c>
      <c r="L81" s="17" t="n">
        <f aca="false">SUM(L82:L86)</f>
        <v>0</v>
      </c>
      <c r="M81" s="17" t="n">
        <f aca="false">SUM(M82:M86)</f>
        <v>0</v>
      </c>
      <c r="N81" s="17" t="n">
        <f aca="false">SUM(N82:N86)</f>
        <v>300</v>
      </c>
      <c r="O81" s="18" t="n">
        <f aca="false">SUM(O82:O86)</f>
        <v>1050000</v>
      </c>
    </row>
    <row r="82" customFormat="false" ht="15" hidden="false" customHeight="false" outlineLevel="0" collapsed="false">
      <c r="A82" s="5" t="s">
        <v>181</v>
      </c>
      <c r="B82" s="5" t="s">
        <v>182</v>
      </c>
      <c r="C82" s="19"/>
      <c r="D82" s="19"/>
      <c r="E82" s="19"/>
      <c r="F82" s="19"/>
      <c r="G82" s="19" t="n">
        <v>60</v>
      </c>
      <c r="H82" s="19"/>
      <c r="I82" s="19"/>
      <c r="J82" s="19" t="n">
        <v>30</v>
      </c>
      <c r="K82" s="19"/>
      <c r="L82" s="19"/>
      <c r="M82" s="19"/>
      <c r="N82" s="20" t="n">
        <f aca="false">SUM(C82:M82)</f>
        <v>90</v>
      </c>
      <c r="O82" s="21" t="n">
        <f aca="false">SUMPRODUCT(C82:M82,$C$4:$M$4)</f>
        <v>390000</v>
      </c>
    </row>
    <row r="83" customFormat="false" ht="15" hidden="false" customHeight="false" outlineLevel="0" collapsed="false">
      <c r="A83" s="5" t="s">
        <v>183</v>
      </c>
      <c r="B83" s="5" t="s">
        <v>184</v>
      </c>
      <c r="C83" s="19"/>
      <c r="D83" s="19" t="n">
        <v>60</v>
      </c>
      <c r="E83" s="19"/>
      <c r="F83" s="19"/>
      <c r="G83" s="19"/>
      <c r="H83" s="19"/>
      <c r="I83" s="19"/>
      <c r="J83" s="19"/>
      <c r="K83" s="19"/>
      <c r="L83" s="19"/>
      <c r="M83" s="19"/>
      <c r="N83" s="20" t="n">
        <f aca="false">SUM(C83:M83)</f>
        <v>60</v>
      </c>
      <c r="O83" s="21" t="n">
        <f aca="false">SUMPRODUCT(C83:M83,$C$4:$M$4)</f>
        <v>180000</v>
      </c>
    </row>
    <row r="84" customFormat="false" ht="15" hidden="false" customHeight="false" outlineLevel="0" collapsed="false">
      <c r="A84" s="5" t="s">
        <v>185</v>
      </c>
      <c r="B84" s="5" t="s">
        <v>186</v>
      </c>
      <c r="C84" s="19" t="n">
        <v>20</v>
      </c>
      <c r="D84" s="19" t="n">
        <v>30</v>
      </c>
      <c r="E84" s="19"/>
      <c r="F84" s="19"/>
      <c r="G84" s="19"/>
      <c r="H84" s="19"/>
      <c r="I84" s="19"/>
      <c r="J84" s="19"/>
      <c r="K84" s="19"/>
      <c r="L84" s="19"/>
      <c r="M84" s="19"/>
      <c r="N84" s="20" t="n">
        <f aca="false">SUM(C84:M84)</f>
        <v>50</v>
      </c>
      <c r="O84" s="21" t="n">
        <f aca="false">SUMPRODUCT(C84:M84,$C$4:$M$4)</f>
        <v>150000</v>
      </c>
    </row>
    <row r="85" customFormat="false" ht="15" hidden="false" customHeight="false" outlineLevel="0" collapsed="false">
      <c r="A85" s="5" t="s">
        <v>187</v>
      </c>
      <c r="B85" s="5" t="s">
        <v>188</v>
      </c>
      <c r="C85" s="19"/>
      <c r="D85" s="19"/>
      <c r="E85" s="19"/>
      <c r="F85" s="19"/>
      <c r="G85" s="19"/>
      <c r="H85" s="19" t="n">
        <v>30</v>
      </c>
      <c r="I85" s="19" t="n">
        <v>30</v>
      </c>
      <c r="J85" s="19"/>
      <c r="K85" s="19"/>
      <c r="L85" s="19"/>
      <c r="M85" s="19"/>
      <c r="N85" s="20" t="n">
        <f aca="false">SUM(C85:M85)</f>
        <v>60</v>
      </c>
      <c r="O85" s="21" t="n">
        <f aca="false">SUMPRODUCT(C85:M85,$C$4:$M$4)</f>
        <v>210000</v>
      </c>
    </row>
    <row r="86" customFormat="false" ht="15" hidden="false" customHeight="false" outlineLevel="0" collapsed="false">
      <c r="A86" s="5" t="s">
        <v>189</v>
      </c>
      <c r="B86" s="5" t="s">
        <v>190</v>
      </c>
      <c r="C86" s="19" t="n">
        <v>40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0" t="n">
        <f aca="false">SUM(C86:M86)</f>
        <v>40</v>
      </c>
      <c r="O86" s="21" t="n">
        <f aca="false">SUMPRODUCT(C86:M86,$C$4:$M$4)</f>
        <v>120000</v>
      </c>
    </row>
    <row r="88" customFormat="false" ht="15" hidden="false" customHeight="false" outlineLevel="0" collapsed="false">
      <c r="A88" s="22"/>
      <c r="B88" s="23" t="s">
        <v>191</v>
      </c>
      <c r="C88" s="24" t="n">
        <f aca="false">C6+C22+C66+C74+C81</f>
        <v>560</v>
      </c>
      <c r="D88" s="24" t="n">
        <f aca="false">D6+D22+D66+D74+D81</f>
        <v>460</v>
      </c>
      <c r="E88" s="24" t="n">
        <f aca="false">E6+E22+E66+E74+E81</f>
        <v>660</v>
      </c>
      <c r="F88" s="24" t="n">
        <f aca="false">F6+F22+F66+F74+F81</f>
        <v>100</v>
      </c>
      <c r="G88" s="24" t="n">
        <f aca="false">G6+G22+G66+G74+G81</f>
        <v>410</v>
      </c>
      <c r="H88" s="24" t="n">
        <f aca="false">H6+H22+H66+H74+H81</f>
        <v>1590</v>
      </c>
      <c r="I88" s="24" t="n">
        <f aca="false">I6+I22+I66+I74+I81</f>
        <v>1310</v>
      </c>
      <c r="J88" s="24" t="n">
        <f aca="false">J6+J22+J66+J74+J81</f>
        <v>610</v>
      </c>
      <c r="K88" s="24" t="n">
        <f aca="false">K6+K22+K66+K74+K81</f>
        <v>620</v>
      </c>
      <c r="L88" s="24" t="n">
        <f aca="false">L6+L22+L66+L74+L81</f>
        <v>350</v>
      </c>
      <c r="M88" s="24" t="n">
        <f aca="false">M6+M22+M66+M74+M81</f>
        <v>200</v>
      </c>
      <c r="N88" s="24" t="n">
        <f aca="false">N6+N22+N66+N74+N81</f>
        <v>6870</v>
      </c>
      <c r="O88" s="25" t="n">
        <f aca="false">O6+O22+O66+O74+O81</f>
        <v>22885000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192</v>
      </c>
    </row>
    <row r="3" customFormat="false" ht="15" hidden="false" customHeight="false" outlineLevel="0" collapsed="false">
      <c r="A3" s="10" t="s">
        <v>193</v>
      </c>
    </row>
    <row r="4" customFormat="false" ht="15" hidden="false" customHeight="false" outlineLevel="0" collapsed="false">
      <c r="A4" s="4" t="s">
        <v>194</v>
      </c>
      <c r="B4" s="4" t="s">
        <v>195</v>
      </c>
      <c r="C4" s="4" t="s">
        <v>196</v>
      </c>
      <c r="D4" s="4" t="s">
        <v>197</v>
      </c>
      <c r="E4" s="4" t="s">
        <v>35</v>
      </c>
    </row>
    <row r="5" customFormat="false" ht="15" hidden="false" customHeight="false" outlineLevel="0" collapsed="false">
      <c r="A5" s="5" t="s">
        <v>36</v>
      </c>
      <c r="B5" s="5" t="n">
        <f aca="false">Трудозатраты!N6</f>
        <v>1190</v>
      </c>
      <c r="C5" s="26" t="n">
        <f aca="false">Трудозатраты!N6/Параметры!$B$19</f>
        <v>7.4375</v>
      </c>
      <c r="D5" s="27" t="n">
        <f aca="false">Трудозатраты!N6/Трудозатраты!N88</f>
        <v>0.173216885007278</v>
      </c>
      <c r="E5" s="21" t="n">
        <f aca="false">Трудозатраты!O6</f>
        <v>3915000</v>
      </c>
    </row>
    <row r="6" customFormat="false" ht="15" hidden="false" customHeight="false" outlineLevel="0" collapsed="false">
      <c r="A6" s="5" t="s">
        <v>67</v>
      </c>
      <c r="B6" s="5" t="n">
        <f aca="false">Трудозатраты!N22</f>
        <v>4270</v>
      </c>
      <c r="C6" s="26" t="n">
        <f aca="false">Трудозатраты!N22/Параметры!$B$19</f>
        <v>26.6875</v>
      </c>
      <c r="D6" s="27" t="n">
        <f aca="false">Трудозатраты!N22/Трудозатраты!N88</f>
        <v>0.621542940320233</v>
      </c>
      <c r="E6" s="21" t="n">
        <f aca="false">Трудозатраты!O22</f>
        <v>14220000</v>
      </c>
    </row>
    <row r="7" customFormat="false" ht="15" hidden="false" customHeight="false" outlineLevel="0" collapsed="false">
      <c r="A7" s="5" t="s">
        <v>154</v>
      </c>
      <c r="B7" s="5" t="n">
        <f aca="false">Трудозатраты!N66</f>
        <v>580</v>
      </c>
      <c r="C7" s="26" t="n">
        <f aca="false">Трудозатраты!N66/Параметры!$B$19</f>
        <v>3.625</v>
      </c>
      <c r="D7" s="27" t="n">
        <f aca="false">Трудозатраты!N66/Трудозатраты!N88</f>
        <v>0.0844250363901019</v>
      </c>
      <c r="E7" s="21" t="n">
        <f aca="false">Трудозатраты!O66</f>
        <v>1960000</v>
      </c>
    </row>
    <row r="8" customFormat="false" ht="15" hidden="false" customHeight="false" outlineLevel="0" collapsed="false">
      <c r="A8" s="5" t="s">
        <v>168</v>
      </c>
      <c r="B8" s="5" t="n">
        <f aca="false">Трудозатраты!N74</f>
        <v>530</v>
      </c>
      <c r="C8" s="26" t="n">
        <f aca="false">Трудозатраты!N74/Параметры!$B$19</f>
        <v>3.3125</v>
      </c>
      <c r="D8" s="27" t="n">
        <f aca="false">Трудозатраты!N74/Трудозатраты!N88</f>
        <v>0.0771470160116448</v>
      </c>
      <c r="E8" s="21" t="n">
        <f aca="false">Трудозатраты!O74</f>
        <v>1740000</v>
      </c>
    </row>
    <row r="9" customFormat="false" ht="15" hidden="false" customHeight="false" outlineLevel="0" collapsed="false">
      <c r="A9" s="5" t="s">
        <v>180</v>
      </c>
      <c r="B9" s="5" t="n">
        <f aca="false">Трудозатраты!N81</f>
        <v>300</v>
      </c>
      <c r="C9" s="26" t="n">
        <f aca="false">Трудозатраты!N81/Параметры!$B$19</f>
        <v>1.875</v>
      </c>
      <c r="D9" s="27" t="n">
        <f aca="false">Трудозатраты!N81/Трудозатраты!N88</f>
        <v>0.0436681222707424</v>
      </c>
      <c r="E9" s="21" t="n">
        <f aca="false">Трудозатраты!O81</f>
        <v>1050000</v>
      </c>
    </row>
    <row r="10" customFormat="false" ht="15" hidden="false" customHeight="false" outlineLevel="0" collapsed="false">
      <c r="A10" s="28" t="s">
        <v>198</v>
      </c>
      <c r="B10" s="28" t="n">
        <f aca="false">SUM(B5:B9)</f>
        <v>6870</v>
      </c>
      <c r="C10" s="29" t="n">
        <f aca="false">B10/Параметры!$B$19</f>
        <v>42.9375</v>
      </c>
      <c r="D10" s="30" t="n">
        <f aca="false">SUM(D5:D9)</f>
        <v>1</v>
      </c>
      <c r="E10" s="31" t="n">
        <f aca="false">SUM(E5:E9)</f>
        <v>22885000</v>
      </c>
    </row>
    <row r="12" customFormat="false" ht="15" hidden="false" customHeight="false" outlineLevel="0" collapsed="false">
      <c r="A12" s="10" t="s">
        <v>199</v>
      </c>
    </row>
    <row r="13" customFormat="false" ht="15" hidden="false" customHeight="false" outlineLevel="0" collapsed="false">
      <c r="A13" s="5" t="s">
        <v>198</v>
      </c>
      <c r="B13" s="5" t="n">
        <f aca="false">B10</f>
        <v>6870</v>
      </c>
      <c r="E13" s="21" t="n">
        <f aca="false">E10</f>
        <v>22885000</v>
      </c>
    </row>
    <row r="14" customFormat="false" ht="15" hidden="false" customHeight="false" outlineLevel="0" collapsed="false">
      <c r="A14" s="5" t="s">
        <v>200</v>
      </c>
      <c r="B14" s="5" t="n">
        <f aca="false">B10*Параметры!$B$20</f>
        <v>412.2</v>
      </c>
      <c r="E14" s="21" t="n">
        <f aca="false">E10*Параметры!$B$20</f>
        <v>1373100</v>
      </c>
    </row>
    <row r="15" customFormat="false" ht="15" hidden="false" customHeight="false" outlineLevel="0" collapsed="false">
      <c r="A15" s="5" t="s">
        <v>19</v>
      </c>
      <c r="B15" s="5" t="n">
        <f aca="false">B10*Параметры!$B$21</f>
        <v>687</v>
      </c>
      <c r="E15" s="21" t="n">
        <f aca="false">E10*Параметры!$B$21</f>
        <v>2288500</v>
      </c>
    </row>
    <row r="16" customFormat="false" ht="15" hidden="false" customHeight="false" outlineLevel="0" collapsed="false">
      <c r="A16" s="23" t="s">
        <v>201</v>
      </c>
      <c r="B16" s="23" t="n">
        <f aca="false">SUM(B13:B15)</f>
        <v>7969.2</v>
      </c>
      <c r="C16" s="32" t="n">
        <f aca="false">B16/Параметры!$B$19</f>
        <v>49.8075</v>
      </c>
      <c r="D16" s="22"/>
      <c r="E16" s="25" t="n">
        <f aca="false">SUM(E13:E15)</f>
        <v>26546600</v>
      </c>
    </row>
    <row r="18" customFormat="false" ht="15" hidden="false" customHeight="false" outlineLevel="0" collapsed="false">
      <c r="A18" s="10" t="s">
        <v>202</v>
      </c>
    </row>
    <row r="19" customFormat="false" ht="15" hidden="false" customHeight="false" outlineLevel="0" collapsed="false">
      <c r="A19" s="4" t="s">
        <v>3</v>
      </c>
      <c r="B19" s="4" t="s">
        <v>195</v>
      </c>
      <c r="C19" s="4" t="s">
        <v>196</v>
      </c>
      <c r="D19" s="4" t="s">
        <v>197</v>
      </c>
      <c r="E19" s="4" t="s">
        <v>35</v>
      </c>
    </row>
    <row r="20" customFormat="false" ht="15" hidden="false" customHeight="false" outlineLevel="0" collapsed="false">
      <c r="A20" s="5" t="s">
        <v>5</v>
      </c>
      <c r="B20" s="5" t="n">
        <f aca="false">Трудозатраты!C88</f>
        <v>560</v>
      </c>
      <c r="C20" s="26" t="n">
        <f aca="false">B20/Параметры!$B$19</f>
        <v>3.5</v>
      </c>
      <c r="D20" s="27" t="n">
        <f aca="false">B20/Трудозатраты!N88</f>
        <v>0.0815138282387191</v>
      </c>
      <c r="E20" s="21" t="n">
        <f aca="false">B20*Параметры!$B$7</f>
        <v>1680000</v>
      </c>
    </row>
    <row r="21" customFormat="false" ht="15" hidden="false" customHeight="false" outlineLevel="0" collapsed="false">
      <c r="A21" s="5" t="s">
        <v>6</v>
      </c>
      <c r="B21" s="5" t="n">
        <f aca="false">Трудозатраты!D88</f>
        <v>460</v>
      </c>
      <c r="C21" s="26" t="n">
        <f aca="false">B21/Параметры!$B$19</f>
        <v>2.875</v>
      </c>
      <c r="D21" s="27" t="n">
        <f aca="false">B21/Трудозатраты!N88</f>
        <v>0.066957787481805</v>
      </c>
      <c r="E21" s="21" t="n">
        <f aca="false">B21*Параметры!$B$8</f>
        <v>1380000</v>
      </c>
    </row>
    <row r="22" customFormat="false" ht="15" hidden="false" customHeight="false" outlineLevel="0" collapsed="false">
      <c r="A22" s="5" t="s">
        <v>7</v>
      </c>
      <c r="B22" s="5" t="n">
        <f aca="false">Трудозатраты!E88</f>
        <v>660</v>
      </c>
      <c r="C22" s="26" t="n">
        <f aca="false">B22/Параметры!$B$19</f>
        <v>4.125</v>
      </c>
      <c r="D22" s="27" t="n">
        <f aca="false">B22/Трудозатраты!N88</f>
        <v>0.0960698689956332</v>
      </c>
      <c r="E22" s="21" t="n">
        <f aca="false">B22*Параметры!$B$9</f>
        <v>1980000</v>
      </c>
    </row>
    <row r="23" customFormat="false" ht="15" hidden="false" customHeight="false" outlineLevel="0" collapsed="false">
      <c r="A23" s="5" t="s">
        <v>8</v>
      </c>
      <c r="B23" s="5" t="n">
        <f aca="false">Трудозатраты!F88</f>
        <v>100</v>
      </c>
      <c r="C23" s="26" t="n">
        <f aca="false">B23/Параметры!$B$19</f>
        <v>0.625</v>
      </c>
      <c r="D23" s="27" t="n">
        <f aca="false">B23/Трудозатраты!N88</f>
        <v>0.0145560407569141</v>
      </c>
      <c r="E23" s="21" t="n">
        <f aca="false">B23*Параметры!$B$10</f>
        <v>450000</v>
      </c>
    </row>
    <row r="24" customFormat="false" ht="15" hidden="false" customHeight="false" outlineLevel="0" collapsed="false">
      <c r="A24" s="5" t="s">
        <v>9</v>
      </c>
      <c r="B24" s="5" t="n">
        <f aca="false">Трудозатраты!G88</f>
        <v>410</v>
      </c>
      <c r="C24" s="26" t="n">
        <f aca="false">B24/Параметры!$B$19</f>
        <v>2.5625</v>
      </c>
      <c r="D24" s="27" t="n">
        <f aca="false">B24/Трудозатраты!N88</f>
        <v>0.0596797671033479</v>
      </c>
      <c r="E24" s="21" t="n">
        <f aca="false">B24*Параметры!$B$11</f>
        <v>1845000</v>
      </c>
    </row>
    <row r="25" customFormat="false" ht="15" hidden="false" customHeight="false" outlineLevel="0" collapsed="false">
      <c r="A25" s="5" t="s">
        <v>10</v>
      </c>
      <c r="B25" s="5" t="n">
        <f aca="false">Трудозатраты!H88</f>
        <v>1590</v>
      </c>
      <c r="C25" s="26" t="n">
        <f aca="false">B25/Параметры!$B$19</f>
        <v>9.9375</v>
      </c>
      <c r="D25" s="27" t="n">
        <f aca="false">B25/Трудозатраты!N88</f>
        <v>0.231441048034935</v>
      </c>
      <c r="E25" s="21" t="n">
        <f aca="false">B25*Параметры!$B$12</f>
        <v>5565000</v>
      </c>
    </row>
    <row r="26" customFormat="false" ht="15" hidden="false" customHeight="false" outlineLevel="0" collapsed="false">
      <c r="A26" s="5" t="s">
        <v>11</v>
      </c>
      <c r="B26" s="5" t="n">
        <f aca="false">Трудозатраты!I88</f>
        <v>1310</v>
      </c>
      <c r="C26" s="26" t="n">
        <f aca="false">B26/Параметры!$B$19</f>
        <v>8.1875</v>
      </c>
      <c r="D26" s="27" t="n">
        <f aca="false">B26/Трудозатраты!N88</f>
        <v>0.190684133915575</v>
      </c>
      <c r="E26" s="21" t="n">
        <f aca="false">B26*Параметры!$B$13</f>
        <v>4585000</v>
      </c>
    </row>
    <row r="27" customFormat="false" ht="15" hidden="false" customHeight="false" outlineLevel="0" collapsed="false">
      <c r="A27" s="5" t="s">
        <v>12</v>
      </c>
      <c r="B27" s="5" t="n">
        <f aca="false">Трудозатраты!J88</f>
        <v>610</v>
      </c>
      <c r="C27" s="26" t="n">
        <f aca="false">B27/Параметры!$B$19</f>
        <v>3.8125</v>
      </c>
      <c r="D27" s="27" t="n">
        <f aca="false">B27/Трудозатраты!N88</f>
        <v>0.0887918486171761</v>
      </c>
      <c r="E27" s="21" t="n">
        <f aca="false">B27*Параметры!$B$14</f>
        <v>2440000</v>
      </c>
    </row>
    <row r="28" customFormat="false" ht="15" hidden="false" customHeight="false" outlineLevel="0" collapsed="false">
      <c r="A28" s="5" t="s">
        <v>13</v>
      </c>
      <c r="B28" s="5" t="n">
        <f aca="false">Трудозатраты!K88</f>
        <v>620</v>
      </c>
      <c r="C28" s="26" t="n">
        <f aca="false">B28/Параметры!$B$19</f>
        <v>3.875</v>
      </c>
      <c r="D28" s="27" t="n">
        <f aca="false">B28/Трудозатраты!N88</f>
        <v>0.0902474526928676</v>
      </c>
      <c r="E28" s="21" t="n">
        <f aca="false">B28*Параметры!$B$15</f>
        <v>1550000</v>
      </c>
    </row>
    <row r="29" customFormat="false" ht="15" hidden="false" customHeight="false" outlineLevel="0" collapsed="false">
      <c r="A29" s="5" t="s">
        <v>14</v>
      </c>
      <c r="B29" s="5" t="n">
        <f aca="false">Трудозатраты!L88</f>
        <v>350</v>
      </c>
      <c r="C29" s="26" t="n">
        <f aca="false">B29/Параметры!$B$19</f>
        <v>2.1875</v>
      </c>
      <c r="D29" s="27" t="n">
        <f aca="false">B29/Трудозатраты!N88</f>
        <v>0.0509461426491994</v>
      </c>
      <c r="E29" s="21" t="n">
        <f aca="false">B29*Параметры!$B$16</f>
        <v>1050000</v>
      </c>
    </row>
    <row r="30" customFormat="false" ht="15" hidden="false" customHeight="false" outlineLevel="0" collapsed="false">
      <c r="A30" s="5" t="s">
        <v>15</v>
      </c>
      <c r="B30" s="5" t="n">
        <f aca="false">Трудозатраты!M88</f>
        <v>200</v>
      </c>
      <c r="C30" s="26" t="n">
        <f aca="false">B30/Параметры!$B$19</f>
        <v>1.25</v>
      </c>
      <c r="D30" s="27" t="n">
        <f aca="false">B30/Трудозатраты!N88</f>
        <v>0.0291120815138282</v>
      </c>
      <c r="E30" s="21" t="n">
        <f aca="false">B30*Параметры!$B$17</f>
        <v>360000</v>
      </c>
    </row>
    <row r="31" customFormat="false" ht="15" hidden="false" customHeight="false" outlineLevel="0" collapsed="false">
      <c r="A31" s="28" t="s">
        <v>203</v>
      </c>
      <c r="B31" s="28" t="n">
        <f aca="false">SUM(B20:B30)</f>
        <v>6870</v>
      </c>
      <c r="C31" s="29" t="n">
        <f aca="false">B31/Параметры!$B$19</f>
        <v>42.9375</v>
      </c>
      <c r="D31" s="30" t="n">
        <f aca="false">SUM(D20:D30)</f>
        <v>1</v>
      </c>
      <c r="E31" s="31" t="n">
        <f aca="false">SUM(E20:E30)</f>
        <v>22885000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3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31.5" hidden="false" customHeight="true" outlineLevel="0" collapsed="false">
      <c r="A4" s="14" t="s">
        <v>194</v>
      </c>
      <c r="B4" s="14" t="s">
        <v>206</v>
      </c>
      <c r="C4" s="14" t="s">
        <v>207</v>
      </c>
      <c r="D4" s="14" t="s">
        <v>208</v>
      </c>
      <c r="E4" s="14" t="s">
        <v>209</v>
      </c>
      <c r="F4" s="14" t="s">
        <v>210</v>
      </c>
    </row>
    <row r="5" customFormat="false" ht="30" hidden="false" customHeight="true" outlineLevel="0" collapsed="false">
      <c r="A5" s="5" t="s">
        <v>211</v>
      </c>
      <c r="B5" s="19" t="s">
        <v>212</v>
      </c>
      <c r="C5" s="20" t="n">
        <v>4</v>
      </c>
      <c r="D5" s="19" t="n">
        <v>1</v>
      </c>
      <c r="E5" s="19" t="n">
        <v>4</v>
      </c>
      <c r="F5" s="33" t="s">
        <v>213</v>
      </c>
    </row>
    <row r="6" customFormat="false" ht="30" hidden="false" customHeight="true" outlineLevel="0" collapsed="false">
      <c r="A6" s="5" t="s">
        <v>214</v>
      </c>
      <c r="B6" s="19" t="s">
        <v>215</v>
      </c>
      <c r="C6" s="20" t="n">
        <v>11</v>
      </c>
      <c r="D6" s="19" t="n">
        <v>3</v>
      </c>
      <c r="E6" s="19" t="n">
        <v>13</v>
      </c>
      <c r="F6" s="33" t="s">
        <v>216</v>
      </c>
    </row>
    <row r="7" customFormat="false" ht="30" hidden="false" customHeight="true" outlineLevel="0" collapsed="false">
      <c r="A7" s="5" t="s">
        <v>217</v>
      </c>
      <c r="B7" s="19" t="s">
        <v>218</v>
      </c>
      <c r="C7" s="20" t="n">
        <v>2</v>
      </c>
      <c r="D7" s="19" t="n">
        <v>12</v>
      </c>
      <c r="E7" s="19" t="n">
        <v>13</v>
      </c>
      <c r="F7" s="33" t="s">
        <v>219</v>
      </c>
    </row>
    <row r="8" customFormat="false" ht="30" hidden="false" customHeight="true" outlineLevel="0" collapsed="false">
      <c r="A8" s="5" t="s">
        <v>220</v>
      </c>
      <c r="B8" s="19" t="s">
        <v>221</v>
      </c>
      <c r="C8" s="20" t="n">
        <v>4</v>
      </c>
      <c r="D8" s="19" t="n">
        <v>14</v>
      </c>
      <c r="E8" s="19" t="n">
        <v>17</v>
      </c>
      <c r="F8" s="33" t="s">
        <v>222</v>
      </c>
    </row>
    <row r="9" customFormat="false" ht="30" hidden="false" customHeight="true" outlineLevel="0" collapsed="false">
      <c r="A9" s="5" t="s">
        <v>223</v>
      </c>
      <c r="B9" s="19" t="s">
        <v>221</v>
      </c>
      <c r="C9" s="20" t="n">
        <v>2</v>
      </c>
      <c r="D9" s="19" t="n">
        <v>16</v>
      </c>
      <c r="E9" s="19" t="n">
        <v>17</v>
      </c>
      <c r="F9" s="33" t="s">
        <v>224</v>
      </c>
    </row>
    <row r="10" customFormat="false" ht="15" hidden="false" customHeight="false" outlineLevel="0" collapsed="false">
      <c r="A10" s="23" t="s">
        <v>225</v>
      </c>
      <c r="B10" s="24" t="s">
        <v>226</v>
      </c>
      <c r="C10" s="24" t="n">
        <f aca="false">MAX(E5:E9)</f>
        <v>17</v>
      </c>
      <c r="D10" s="22"/>
      <c r="E10" s="22"/>
      <c r="F10" s="34" t="s">
        <v>227</v>
      </c>
    </row>
    <row r="12" customFormat="false" ht="15" hidden="false" customHeight="false" outlineLevel="0" collapsed="false">
      <c r="A12" s="10" t="s">
        <v>228</v>
      </c>
    </row>
    <row r="13" customFormat="false" ht="15" hidden="false" customHeight="false" outlineLevel="0" collapsed="false">
      <c r="A13" s="11" t="s">
        <v>229</v>
      </c>
    </row>
    <row r="14" customFormat="false" ht="15" hidden="false" customHeight="false" outlineLevel="0" collapsed="false">
      <c r="A14" s="11" t="s">
        <v>230</v>
      </c>
    </row>
    <row r="15" customFormat="false" ht="15" hidden="false" customHeight="false" outlineLevel="0" collapsed="false">
      <c r="A15" s="11" t="s">
        <v>231</v>
      </c>
    </row>
    <row r="16" customFormat="false" ht="15" hidden="false" customHeight="false" outlineLevel="0" collapsed="false">
      <c r="A16" s="11" t="s">
        <v>232</v>
      </c>
    </row>
    <row r="17" customFormat="false" ht="15" hidden="false" customHeight="false" outlineLevel="0" collapsed="false">
      <c r="A17" s="11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2026-08-21T14:35:32Z</dcterms:created>
  <dc:creator>openpyxl</dc:creator>
  <dc:description/>
  <dc:language>en-US</dc:language>
  <cp:lastModifiedBy/>
  <dcterms:modified xsi:type="dcterms:W3CDTF">2026-08-21T14:35:32Z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