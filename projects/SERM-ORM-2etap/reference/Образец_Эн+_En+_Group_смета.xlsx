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главление" sheetId="1" r:id="rId4"/>
    <sheet state="visible" name="Лист1" sheetId="2" r:id="rId5"/>
  </sheets>
  <definedNames/>
  <calcPr/>
  <extLst>
    <ext uri="GoogleSheetsCustomDataVersion2">
      <go:sheetsCustomData xmlns:go="http://customooxmlschemas.google.com/" r:id="rId6" roundtripDataChecksum="AgLJREOBH6AvVeRoj9r0HeIiIRSZEuCgI0EIW7zm8Vc="/>
    </ext>
  </extLst>
</workbook>
</file>

<file path=xl/sharedStrings.xml><?xml version="1.0" encoding="utf-8"?>
<sst xmlns="http://schemas.openxmlformats.org/spreadsheetml/2006/main" count="22" uniqueCount="22">
  <si>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</si>
  <si>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</si>
  <si>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</si>
  <si>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</si>
  <si>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</si>
  <si>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Сбор и анализ упоминаний объектов в соцсетях и СМИ, анализ поисковой выдачи и ИИ-подсказок. Определение тональности упоминаний, структуры негатива, проблемных площадок и анализ рисков.</t>
  </si>
  <si>
    <t>Разработка стратегии работ на год</t>
  </si>
  <si>
    <t>Разработка стратегии работы с информационным полем</t>
  </si>
  <si>
    <t>Первичный мониторинг ИИ-подсказок и генеративной выдачи</t>
  </si>
  <si>
    <t>Формирование запросов, регулярная проверка, выявление искажений, источники влияния, рекомендации, динамика</t>
  </si>
  <si>
    <t>Итого</t>
  </si>
  <si>
    <t>Начиная с 2 месяца</t>
  </si>
  <si>
    <t>Регулярный аудит поисковой выдачи, ИИ-подсказок и генеративной выдачи</t>
  </si>
  <si>
    <t>Ежемесячно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</si>
  <si>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</si>
  <si>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До 5 отзывов и до 50 комментариев к отзывам</t>
  </si>
  <si>
    <t>SERM в соответствии с п.3.5 ТЗ</t>
  </si>
  <si>
    <t>Регулярный анализ поисковой выдачи, отслеживание изменения позиций материалов в поисковой выдаче, отчетность (в т.ч. менеджмент проекта) (продвижение не менее 20 площадок)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</si>
  <si>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</si>
  <si>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</si>
  <si>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</si>
  <si>
    <t>Итого в месяц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</si>
</sst>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₽&quot;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3" fillId="0" fontId="3" numFmtId="0" xfId="0" applyBorder="1" applyFont="1"/>
    <xf borderId="0" fillId="0" fontId="4" numFmtId="0" xfId="0" applyAlignment="1" applyFont="1">
      <alignment readingOrder="0" shrinkToFit="0" wrapText="1"/>
    </xf>
    <xf borderId="4" fillId="0" fontId="3" numFmtId="0" xfId="0" applyBorder="1" applyFont="1"/>
    <xf borderId="5" fillId="0" fontId="1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1" fillId="0" fontId="5" numFmtId="164" xfId="0" applyBorder="1" applyFont="1" applyNumberFormat="1"/>
    <xf borderId="2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1" fillId="0" fontId="2" numFmtId="16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4.29"/>
    <col customWidth="1" min="3" max="3" width="35.57"/>
    <col customWidth="1" min="4" max="4" width="13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5">
        <f>22000*2</f>
        <v>44000</v>
      </c>
    </row>
    <row r="3">
      <c r="A3" s="6"/>
      <c r="B3" s="3" t="s">
        <v>6</v>
      </c>
      <c r="C3" s="4" t="s">
        <v>7</v>
      </c>
      <c r="D3" s="5">
        <f>31000*2</f>
        <v>62000</v>
      </c>
    </row>
    <row r="4">
      <c r="A4" s="6"/>
      <c r="B4" s="3" t="s">
        <v>8</v>
      </c>
      <c r="C4" s="7" t="s">
        <v>9</v>
      </c>
      <c r="D4" s="5">
        <f>11000*2</f>
        <v>22000</v>
      </c>
    </row>
    <row r="5">
      <c r="A5" s="8"/>
      <c r="B5" s="9" t="s">
        <v>10</v>
      </c>
      <c r="C5" s="10"/>
      <c r="D5" s="11">
        <f>SUM(D2:D4)</f>
        <v>128000</v>
      </c>
    </row>
    <row r="6">
      <c r="A6" s="12" t="s">
        <v>11</v>
      </c>
      <c r="B6" s="3" t="s">
        <v>12</v>
      </c>
      <c r="C6" s="4" t="s">
        <v>13</v>
      </c>
      <c r="D6" s="5">
        <f>95000*2</f>
        <v>190000</v>
      </c>
    </row>
    <row r="7">
      <c r="A7" s="6"/>
      <c r="B7" s="3" t="s">
        <v>14</v>
      </c>
      <c r="C7" s="3" t="s">
        <v>15</v>
      </c>
      <c r="D7" s="5">
        <f>60000*2</f>
        <v>120000</v>
      </c>
    </row>
    <row r="8">
      <c r="A8" s="6"/>
      <c r="B8" s="13" t="s">
        <v>16</v>
      </c>
      <c r="C8" s="3" t="s">
        <v>17</v>
      </c>
      <c r="D8" s="14">
        <f>114720*2</f>
        <v>229440</v>
      </c>
    </row>
    <row r="9">
      <c r="A9" s="6"/>
      <c r="B9" s="6"/>
      <c r="C9" s="3" t="s">
        <v>18</v>
      </c>
      <c r="D9" s="14">
        <f>24000*2</f>
        <v>48000</v>
      </c>
    </row>
    <row r="10">
      <c r="A10" s="6"/>
      <c r="B10" s="6"/>
      <c r="C10" s="3" t="s">
        <v>19</v>
      </c>
      <c r="D10" s="14">
        <f>42000*2</f>
        <v>84000</v>
      </c>
    </row>
    <row r="11">
      <c r="A11" s="6"/>
      <c r="B11" s="8"/>
      <c r="C11" s="3" t="s">
        <v>20</v>
      </c>
      <c r="D11" s="5">
        <f>14000*2</f>
        <v>28000</v>
      </c>
    </row>
    <row r="12">
      <c r="A12" s="8"/>
      <c r="B12" s="9" t="s">
        <v>21</v>
      </c>
      <c r="C12" s="10"/>
      <c r="D12" s="11">
        <f>SUM(D6:D11)</f>
        <v>699440</v>
      </c>
    </row>
  </sheetData>
  <mergeCells count="5">
    <mergeCell ref="B8:B11"/>
    <mergeCell ref="A2:A5"/>
    <mergeCell ref="A6:A12"/>
    <mergeCell ref="B12:C12"/>
    <mergeCell ref="B5:C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