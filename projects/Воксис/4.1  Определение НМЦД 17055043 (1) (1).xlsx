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irnovaAV\Downloads\"/>
    </mc:Choice>
  </mc:AlternateContent>
  <xr:revisionPtr revIDLastSave="0" documentId="8_{2BB35077-35D9-472A-9CA4-256424FBEA05}" xr6:coauthVersionLast="47" xr6:coauthVersionMax="47" xr10:uidLastSave="{00000000-0000-0000-0000-000000000000}"/>
  <bookViews>
    <workbookView xWindow="390" yWindow="390" windowWidth="32940" windowHeight="18615" tabRatio="480" xr2:uid="{00000000-000D-0000-FFFF-FFFF00000000}"/>
  </bookViews>
  <sheets>
    <sheet name="Расчет" sheetId="9" r:id="rId1"/>
  </sheets>
  <definedNames>
    <definedName name="_xlnm.Print_Area" localSheetId="0">Расчет!$B$1:$K$28</definedName>
  </definedNames>
  <calcPr calcId="191029" fullPrecision="0"/>
</workbook>
</file>

<file path=xl/calcChain.xml><?xml version="1.0" encoding="utf-8"?>
<calcChain xmlns="http://schemas.openxmlformats.org/spreadsheetml/2006/main">
  <c r="K11" i="9" l="1"/>
  <c r="I18" i="9"/>
  <c r="I11" i="9"/>
  <c r="I9" i="9" l="1"/>
  <c r="G9" i="9"/>
  <c r="I12" i="9" l="1"/>
  <c r="I13" i="9"/>
  <c r="I14" i="9"/>
  <c r="I15" i="9"/>
  <c r="I16" i="9"/>
  <c r="I17" i="9"/>
  <c r="H9" i="9"/>
  <c r="K9" i="9"/>
  <c r="F9" i="9"/>
  <c r="K18" i="9" l="1"/>
  <c r="M23" i="9"/>
  <c r="N23" i="9" s="1"/>
  <c r="J21" i="9"/>
  <c r="K21" i="9" s="1"/>
  <c r="J20" i="9"/>
  <c r="K20" i="9" s="1"/>
</calcChain>
</file>

<file path=xl/sharedStrings.xml><?xml version="1.0" encoding="utf-8"?>
<sst xmlns="http://schemas.openxmlformats.org/spreadsheetml/2006/main" count="57" uniqueCount="39">
  <si>
    <t>Единица измерения</t>
  </si>
  <si>
    <t>Источники информации</t>
  </si>
  <si>
    <t>Дата сбора данных</t>
  </si>
  <si>
    <t>Срок действия цен</t>
  </si>
  <si>
    <t>Категории</t>
  </si>
  <si>
    <t>х</t>
  </si>
  <si>
    <t>№</t>
  </si>
  <si>
    <t>КП-2</t>
  </si>
  <si>
    <t>КП-3</t>
  </si>
  <si>
    <t>Количество</t>
  </si>
  <si>
    <t>Цена за единицу, руб.</t>
  </si>
  <si>
    <t>Средняя цена рыночной стоимости, 
руб.</t>
  </si>
  <si>
    <t>Основные характеристики</t>
  </si>
  <si>
    <t xml:space="preserve">Начальная (максимальная) цена </t>
  </si>
  <si>
    <t xml:space="preserve">НДС </t>
  </si>
  <si>
    <t xml:space="preserve">Определение начальной (максимальной) цены договора (цены лота)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</si>
  <si>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</si>
  <si>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КП-1 </t>
  </si>
  <si>
    <t>Итого начальная (максимальная) цена договора</t>
  </si>
  <si>
    <t xml:space="preserve">Приложение № 1 к протоколу НМЦД </t>
  </si>
  <si>
    <t xml:space="preserve">Цена за услугу без учета налога на добавленую стоимость </t>
  </si>
  <si>
    <t>Итого стоимость услуги</t>
  </si>
  <si>
    <t>Заместитель генерального директора             ____________________                     Т.А. Колмыков                                         «____»________________2026 г.</t>
  </si>
  <si>
    <t>В соответствии с условиями ТЗ</t>
  </si>
  <si>
    <t xml:space="preserve">Составил    </t>
  </si>
  <si>
    <t xml:space="preserve">        _________________ </t>
  </si>
  <si>
    <t>Оказание услуг по разработке сайта</t>
  </si>
  <si>
    <t>Этап 1</t>
  </si>
  <si>
    <t>Этап 2</t>
  </si>
  <si>
    <t>Этап 3</t>
  </si>
  <si>
    <t>Этап 4</t>
  </si>
  <si>
    <t>Этап 5</t>
  </si>
  <si>
    <t>Этап 6</t>
  </si>
  <si>
    <t xml:space="preserve"> Способ определения поставщика (подрядчика, исполнителя) - аукцион </t>
  </si>
  <si>
    <t>Лот 17055043</t>
  </si>
  <si>
    <t xml:space="preserve"> А.А. Шемякин</t>
  </si>
  <si>
    <t>усл.ед</t>
  </si>
  <si>
    <t>30.10.2026</t>
  </si>
  <si>
    <t>24.07.2026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</si>
</sst>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#,##0.000"/>
  </numFmts>
  <fonts count="2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mbria"/>
      <family val="1"/>
      <charset val="204"/>
      <scheme val="major"/>
    </font>
    <font>
      <sz val="10"/>
      <color indexed="8"/>
      <name val="Times New Roman"/>
      <family val="1"/>
      <charset val="204"/>
    </font>
    <font>
      <sz val="11"/>
      <color theme="3"/>
      <name val="Calibri"/>
      <family val="2"/>
      <charset val="204"/>
      <scheme val="minor"/>
    </font>
    <font>
      <sz val="12"/>
      <color theme="3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3" applyFont="1" applyAlignment="1">
      <alignment horizontal="center" vertical="center"/>
    </xf>
    <xf numFmtId="0" fontId="6" fillId="2" borderId="0" xfId="1" applyFont="1" applyFill="1" applyAlignment="1">
      <alignment horizontal="left" vertical="center" wrapText="1"/>
    </xf>
    <xf numFmtId="4" fontId="0" fillId="0" borderId="0" xfId="0" applyNumberFormat="1" applyAlignment="1">
      <alignment wrapText="1"/>
    </xf>
    <xf numFmtId="4" fontId="4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wrapText="1"/>
    </xf>
    <xf numFmtId="4" fontId="8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4" fillId="0" borderId="0" xfId="0" applyNumberFormat="1" applyFont="1" applyAlignment="1">
      <alignment horizontal="left" vertical="center" wrapText="1"/>
    </xf>
    <xf numFmtId="4" fontId="12" fillId="0" borderId="2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64" fontId="13" fillId="0" borderId="1" xfId="3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164" fontId="13" fillId="0" borderId="0" xfId="3" applyFont="1" applyBorder="1" applyAlignment="1">
      <alignment horizontal="center" vertical="center" wrapText="1"/>
    </xf>
    <xf numFmtId="164" fontId="9" fillId="0" borderId="0" xfId="3" applyFont="1" applyBorder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vertical="center" wrapText="1"/>
    </xf>
    <xf numFmtId="4" fontId="16" fillId="0" borderId="0" xfId="0" applyNumberFormat="1" applyFont="1"/>
    <xf numFmtId="0" fontId="13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164" fontId="9" fillId="0" borderId="1" xfId="3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4" fontId="12" fillId="0" borderId="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vertical="center" wrapText="1"/>
    </xf>
    <xf numFmtId="164" fontId="13" fillId="0" borderId="2" xfId="3" applyFont="1" applyBorder="1" applyAlignment="1">
      <alignment horizontal="center" vertical="center" wrapText="1"/>
    </xf>
    <xf numFmtId="164" fontId="9" fillId="0" borderId="2" xfId="3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64" fontId="20" fillId="2" borderId="3" xfId="3" applyFont="1" applyFill="1" applyBorder="1" applyAlignment="1">
      <alignment horizontal="center" vertical="center"/>
    </xf>
    <xf numFmtId="164" fontId="21" fillId="2" borderId="3" xfId="3" applyFont="1" applyFill="1" applyBorder="1" applyAlignment="1">
      <alignment horizontal="center" vertical="center"/>
    </xf>
    <xf numFmtId="164" fontId="21" fillId="2" borderId="3" xfId="3" applyFont="1" applyFill="1" applyBorder="1" applyAlignment="1">
      <alignment horizontal="center" vertical="center" wrapText="1"/>
    </xf>
    <xf numFmtId="49" fontId="12" fillId="2" borderId="2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164" fontId="20" fillId="2" borderId="17" xfId="3" applyFont="1" applyFill="1" applyBorder="1" applyAlignment="1">
      <alignment horizontal="center" vertical="center"/>
    </xf>
    <xf numFmtId="4" fontId="14" fillId="2" borderId="17" xfId="0" applyNumberFormat="1" applyFont="1" applyFill="1" applyBorder="1" applyAlignment="1">
      <alignment horizontal="center" vertical="center"/>
    </xf>
    <xf numFmtId="4" fontId="12" fillId="2" borderId="17" xfId="0" applyNumberFormat="1" applyFont="1" applyFill="1" applyBorder="1" applyAlignment="1">
      <alignment horizontal="center" vertical="center"/>
    </xf>
    <xf numFmtId="4" fontId="14" fillId="2" borderId="21" xfId="0" applyNumberFormat="1" applyFont="1" applyFill="1" applyBorder="1" applyAlignment="1">
      <alignment horizontal="center" vertical="center"/>
    </xf>
    <xf numFmtId="164" fontId="20" fillId="2" borderId="1" xfId="3" applyFont="1" applyFill="1" applyBorder="1" applyAlignment="1">
      <alignment horizontal="center" vertical="center"/>
    </xf>
    <xf numFmtId="0" fontId="22" fillId="0" borderId="3" xfId="0" applyFont="1" applyBorder="1" applyAlignment="1">
      <alignment vertical="center" wrapText="1"/>
    </xf>
    <xf numFmtId="164" fontId="21" fillId="2" borderId="13" xfId="3" applyFont="1" applyFill="1" applyBorder="1" applyAlignment="1">
      <alignment horizontal="center" vertical="center"/>
    </xf>
    <xf numFmtId="4" fontId="23" fillId="2" borderId="14" xfId="3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2" fillId="0" borderId="16" xfId="0" applyFont="1" applyBorder="1" applyAlignment="1">
      <alignment vertical="center" wrapText="1"/>
    </xf>
    <xf numFmtId="164" fontId="25" fillId="2" borderId="18" xfId="3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21" fillId="0" borderId="16" xfId="0" applyFont="1" applyBorder="1"/>
    <xf numFmtId="4" fontId="21" fillId="0" borderId="16" xfId="0" applyNumberFormat="1" applyFont="1" applyBorder="1" applyAlignment="1">
      <alignment horizontal="center" vertical="center"/>
    </xf>
    <xf numFmtId="164" fontId="25" fillId="2" borderId="16" xfId="3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164" fontId="20" fillId="2" borderId="12" xfId="3" applyFont="1" applyFill="1" applyBorder="1" applyAlignment="1">
      <alignment horizontal="center" vertical="center"/>
    </xf>
    <xf numFmtId="4" fontId="14" fillId="2" borderId="12" xfId="0" applyNumberFormat="1" applyFont="1" applyFill="1" applyBorder="1" applyAlignment="1">
      <alignment horizontal="center" vertical="center"/>
    </xf>
    <xf numFmtId="4" fontId="12" fillId="2" borderId="12" xfId="0" applyNumberFormat="1" applyFont="1" applyFill="1" applyBorder="1" applyAlignment="1">
      <alignment horizontal="center" vertical="center"/>
    </xf>
    <xf numFmtId="4" fontId="14" fillId="2" borderId="24" xfId="0" applyNumberFormat="1" applyFont="1" applyFill="1" applyBorder="1" applyAlignment="1">
      <alignment horizontal="center" vertical="center"/>
    </xf>
    <xf numFmtId="9" fontId="21" fillId="2" borderId="16" xfId="4" applyFont="1" applyFill="1" applyBorder="1" applyAlignment="1">
      <alignment horizontal="center" vertical="center"/>
    </xf>
    <xf numFmtId="9" fontId="21" fillId="2" borderId="18" xfId="4" applyFont="1" applyFill="1" applyBorder="1" applyAlignment="1">
      <alignment horizontal="center" vertical="center"/>
    </xf>
    <xf numFmtId="164" fontId="20" fillId="2" borderId="2" xfId="3" applyFont="1" applyFill="1" applyBorder="1" applyAlignment="1">
      <alignment horizontal="center" vertical="center"/>
    </xf>
    <xf numFmtId="164" fontId="25" fillId="2" borderId="21" xfId="3" applyFont="1" applyFill="1" applyBorder="1" applyAlignment="1">
      <alignment horizontal="center" vertical="center" wrapText="1"/>
    </xf>
    <xf numFmtId="164" fontId="24" fillId="2" borderId="11" xfId="3" applyFont="1" applyFill="1" applyBorder="1" applyAlignment="1">
      <alignment horizontal="center" vertical="center"/>
    </xf>
    <xf numFmtId="164" fontId="24" fillId="2" borderId="12" xfId="3" applyFont="1" applyFill="1" applyBorder="1" applyAlignment="1">
      <alignment horizontal="center" vertical="center"/>
    </xf>
    <xf numFmtId="164" fontId="25" fillId="2" borderId="24" xfId="3" applyFont="1" applyFill="1" applyBorder="1" applyAlignment="1">
      <alignment horizontal="center" vertical="center" wrapText="1"/>
    </xf>
    <xf numFmtId="9" fontId="21" fillId="2" borderId="19" xfId="4" applyFont="1" applyFill="1" applyBorder="1" applyAlignment="1">
      <alignment horizontal="center" vertical="center"/>
    </xf>
    <xf numFmtId="4" fontId="24" fillId="2" borderId="22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22" fillId="0" borderId="22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" fontId="26" fillId="0" borderId="0" xfId="0" applyNumberFormat="1" applyFont="1" applyAlignment="1">
      <alignment wrapText="1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4" fontId="21" fillId="2" borderId="2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0" fillId="0" borderId="0" xfId="0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4" fontId="11" fillId="0" borderId="0" xfId="0" applyNumberFormat="1" applyFont="1" applyAlignment="1">
      <alignment horizontal="right" vertical="top"/>
    </xf>
    <xf numFmtId="0" fontId="10" fillId="0" borderId="0" xfId="0" applyFont="1"/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4" fontId="9" fillId="0" borderId="3" xfId="3" applyFont="1" applyBorder="1" applyAlignment="1">
      <alignment horizontal="center" vertical="center" wrapText="1"/>
    </xf>
    <xf numFmtId="164" fontId="9" fillId="0" borderId="1" xfId="3" applyFont="1" applyBorder="1" applyAlignment="1">
      <alignment horizontal="center" vertical="center" wrapText="1"/>
    </xf>
    <xf numFmtId="164" fontId="9" fillId="0" borderId="6" xfId="3" applyFont="1" applyBorder="1" applyAlignment="1">
      <alignment horizontal="center" vertical="center" wrapText="1"/>
    </xf>
    <xf numFmtId="0" fontId="18" fillId="2" borderId="0" xfId="1" applyFont="1" applyFill="1" applyAlignment="1">
      <alignment horizontal="center" wrapText="1"/>
    </xf>
    <xf numFmtId="0" fontId="19" fillId="0" borderId="0" xfId="0" applyFont="1" applyAlignment="1">
      <alignment horizontal="center"/>
    </xf>
    <xf numFmtId="164" fontId="9" fillId="0" borderId="4" xfId="3" applyFont="1" applyBorder="1" applyAlignment="1">
      <alignment horizontal="center" vertical="center" wrapText="1"/>
    </xf>
    <xf numFmtId="164" fontId="9" fillId="0" borderId="5" xfId="3" applyFont="1" applyBorder="1" applyAlignment="1">
      <alignment horizontal="center" vertical="center" wrapText="1"/>
    </xf>
    <xf numFmtId="164" fontId="9" fillId="0" borderId="7" xfId="3" applyFont="1" applyBorder="1" applyAlignment="1">
      <alignment horizontal="center" vertical="center" wrapText="1"/>
    </xf>
  </cellXfs>
  <cellStyles count="5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Процентный" xfId="4" builtinId="5"/>
    <cellStyle name="Финансовый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28"/>
  <sheetViews>
    <sheetView tabSelected="1" view="pageBreakPreview" zoomScale="70" zoomScaleNormal="70" zoomScaleSheetLayoutView="70" workbookViewId="0">
      <selection activeCell="H20" sqref="H20"/>
    </sheetView>
  </sheetViews>
  <sheetFormatPr defaultColWidth="8.85546875" defaultRowHeight="15" x14ac:dyDescent="0.25"/>
  <cols>
    <col min="2" max="2" width="5.42578125" style="11" customWidth="1"/>
    <col min="3" max="3" width="44.42578125" style="2" customWidth="1"/>
    <col min="4" max="4" width="38.42578125" style="2" customWidth="1"/>
    <col min="5" max="5" width="13.5703125" style="2" customWidth="1"/>
    <col min="6" max="6" width="22.85546875" style="2" customWidth="1"/>
    <col min="7" max="7" width="23.42578125" style="2" customWidth="1"/>
    <col min="8" max="8" width="26.85546875" style="2" customWidth="1"/>
    <col min="9" max="9" width="20.85546875" style="3" customWidth="1"/>
    <col min="10" max="10" width="19.5703125" style="4" customWidth="1"/>
    <col min="11" max="11" width="24.85546875" customWidth="1"/>
    <col min="12" max="12" width="14.42578125" style="8" customWidth="1"/>
    <col min="13" max="13" width="11.140625" style="6" hidden="1" customWidth="1"/>
    <col min="14" max="14" width="12.140625" style="6" hidden="1" customWidth="1"/>
    <col min="15" max="21" width="9.140625" style="6"/>
  </cols>
  <sheetData>
    <row r="1" spans="2:21" ht="30.75" customHeight="1" x14ac:dyDescent="0.3">
      <c r="F1" s="101" t="s">
        <v>19</v>
      </c>
      <c r="G1" s="102"/>
      <c r="H1" s="102"/>
      <c r="I1" s="102"/>
      <c r="J1" s="102"/>
      <c r="K1" s="102"/>
    </row>
    <row r="2" spans="2:21" ht="23.25" customHeight="1" x14ac:dyDescent="0.25">
      <c r="I2"/>
      <c r="J2"/>
    </row>
    <row r="3" spans="2:21" ht="36.75" customHeight="1" x14ac:dyDescent="0.3">
      <c r="B3" s="103" t="s">
        <v>15</v>
      </c>
      <c r="C3" s="104"/>
      <c r="D3" s="104"/>
      <c r="E3" s="104"/>
      <c r="F3" s="104"/>
      <c r="G3" s="104"/>
      <c r="H3" s="104"/>
      <c r="I3" s="104"/>
      <c r="J3" s="104"/>
      <c r="K3" s="104"/>
    </row>
    <row r="4" spans="2:21" ht="19.5" customHeight="1" x14ac:dyDescent="0.35">
      <c r="B4" s="113" t="s">
        <v>26</v>
      </c>
      <c r="C4" s="114"/>
      <c r="D4" s="114"/>
      <c r="E4" s="114"/>
      <c r="F4" s="114"/>
      <c r="G4" s="114"/>
      <c r="H4" s="114"/>
      <c r="I4" s="114"/>
      <c r="J4" s="114"/>
      <c r="K4" s="114"/>
      <c r="L4" s="8" t="s">
        <v>16</v>
      </c>
    </row>
    <row r="5" spans="2:21" s="1" customFormat="1" ht="19.5" thickBot="1" x14ac:dyDescent="0.35">
      <c r="B5" s="10"/>
      <c r="C5" s="5" t="s">
        <v>34</v>
      </c>
      <c r="D5" s="105" t="s">
        <v>33</v>
      </c>
      <c r="E5" s="105"/>
      <c r="F5" s="105"/>
      <c r="G5" s="105"/>
      <c r="H5" s="105"/>
      <c r="I5" s="105"/>
      <c r="J5" s="105"/>
      <c r="K5" s="106"/>
      <c r="L5" s="9"/>
      <c r="M5" s="7"/>
      <c r="N5" s="7"/>
      <c r="O5" s="7"/>
      <c r="P5" s="12"/>
      <c r="Q5" s="7"/>
      <c r="R5" s="7"/>
      <c r="S5" s="7"/>
      <c r="T5" s="7"/>
      <c r="U5" s="7"/>
    </row>
    <row r="6" spans="2:21" ht="27" customHeight="1" x14ac:dyDescent="0.25">
      <c r="B6" s="83" t="s">
        <v>6</v>
      </c>
      <c r="C6" s="107" t="s">
        <v>4</v>
      </c>
      <c r="D6" s="107" t="s">
        <v>12</v>
      </c>
      <c r="E6" s="107" t="s">
        <v>0</v>
      </c>
      <c r="F6" s="107" t="s">
        <v>10</v>
      </c>
      <c r="G6" s="107"/>
      <c r="H6" s="107"/>
      <c r="I6" s="107"/>
      <c r="J6" s="110" t="s">
        <v>9</v>
      </c>
      <c r="K6" s="115" t="s">
        <v>13</v>
      </c>
    </row>
    <row r="7" spans="2:21" ht="36" customHeight="1" x14ac:dyDescent="0.25">
      <c r="B7" s="84"/>
      <c r="C7" s="108"/>
      <c r="D7" s="108"/>
      <c r="E7" s="108"/>
      <c r="F7" s="108" t="s">
        <v>1</v>
      </c>
      <c r="G7" s="108"/>
      <c r="H7" s="108"/>
      <c r="I7" s="108" t="s">
        <v>11</v>
      </c>
      <c r="J7" s="111"/>
      <c r="K7" s="116"/>
    </row>
    <row r="8" spans="2:21" ht="63" customHeight="1" thickBot="1" x14ac:dyDescent="0.3">
      <c r="B8" s="87"/>
      <c r="C8" s="109"/>
      <c r="D8" s="109"/>
      <c r="E8" s="109"/>
      <c r="F8" s="34" t="s">
        <v>17</v>
      </c>
      <c r="G8" s="34" t="s">
        <v>7</v>
      </c>
      <c r="H8" s="34" t="s">
        <v>8</v>
      </c>
      <c r="I8" s="109"/>
      <c r="J8" s="112"/>
      <c r="K8" s="117"/>
    </row>
    <row r="9" spans="2:21" ht="48" customHeight="1" x14ac:dyDescent="0.25">
      <c r="B9" s="83">
        <v>1</v>
      </c>
      <c r="C9" s="53" t="s">
        <v>20</v>
      </c>
      <c r="D9" s="89" t="s">
        <v>23</v>
      </c>
      <c r="E9" s="93" t="s">
        <v>36</v>
      </c>
      <c r="F9" s="40">
        <f>F11/122*100</f>
        <v>8400566.3900000006</v>
      </c>
      <c r="G9" s="41">
        <f>G18/105*100</f>
        <v>10842699.050000001</v>
      </c>
      <c r="H9" s="42">
        <f>H18/100*100</f>
        <v>10881620</v>
      </c>
      <c r="I9" s="54">
        <f>(I11/122)*100</f>
        <v>8883919.4100000001</v>
      </c>
      <c r="J9" s="97">
        <v>1</v>
      </c>
      <c r="K9" s="55">
        <f>I9*J9</f>
        <v>8883919.4100000001</v>
      </c>
    </row>
    <row r="10" spans="2:21" ht="69.75" customHeight="1" thickBot="1" x14ac:dyDescent="0.3">
      <c r="B10" s="84"/>
      <c r="C10" s="57" t="s">
        <v>14</v>
      </c>
      <c r="D10" s="90"/>
      <c r="E10" s="94"/>
      <c r="F10" s="68">
        <v>0.22</v>
      </c>
      <c r="G10" s="68">
        <v>0.05</v>
      </c>
      <c r="H10" s="68">
        <v>0</v>
      </c>
      <c r="I10" s="69">
        <v>0.22</v>
      </c>
      <c r="J10" s="98"/>
      <c r="K10" s="75">
        <v>0.22</v>
      </c>
    </row>
    <row r="11" spans="2:21" ht="69.75" customHeight="1" thickBot="1" x14ac:dyDescent="0.3">
      <c r="B11" s="85"/>
      <c r="C11" s="78" t="s">
        <v>21</v>
      </c>
      <c r="D11" s="91"/>
      <c r="E11" s="95"/>
      <c r="F11" s="72">
        <v>10248691</v>
      </c>
      <c r="G11" s="73">
        <v>11384834</v>
      </c>
      <c r="H11" s="73">
        <v>10881620</v>
      </c>
      <c r="I11" s="74">
        <f>(F11+G11+H11)/3+0.01</f>
        <v>10838381.68</v>
      </c>
      <c r="J11" s="99"/>
      <c r="K11" s="76">
        <f>K9*1.22</f>
        <v>10838381.68</v>
      </c>
    </row>
    <row r="12" spans="2:21" ht="69.75" customHeight="1" x14ac:dyDescent="0.25">
      <c r="B12" s="86"/>
      <c r="C12" s="77" t="s">
        <v>27</v>
      </c>
      <c r="D12" s="92"/>
      <c r="E12" s="96"/>
      <c r="F12" s="70">
        <v>1423554</v>
      </c>
      <c r="G12" s="70">
        <v>1523113</v>
      </c>
      <c r="H12" s="70">
        <v>1300900</v>
      </c>
      <c r="I12" s="71">
        <f t="shared" ref="I12:I17" si="0">(F12+G12+H12)/3</f>
        <v>1415855.67</v>
      </c>
      <c r="J12" s="100"/>
      <c r="K12" s="81" t="s">
        <v>5</v>
      </c>
    </row>
    <row r="13" spans="2:21" ht="69.75" customHeight="1" x14ac:dyDescent="0.25">
      <c r="B13" s="86"/>
      <c r="C13" s="56" t="s">
        <v>28</v>
      </c>
      <c r="D13" s="92"/>
      <c r="E13" s="96"/>
      <c r="F13" s="52">
        <v>1858266</v>
      </c>
      <c r="G13" s="52">
        <v>2110270</v>
      </c>
      <c r="H13" s="52">
        <v>1750000</v>
      </c>
      <c r="I13" s="58">
        <f t="shared" si="0"/>
        <v>1906178.67</v>
      </c>
      <c r="J13" s="100"/>
      <c r="K13" s="79" t="s">
        <v>5</v>
      </c>
    </row>
    <row r="14" spans="2:21" ht="69.75" customHeight="1" x14ac:dyDescent="0.25">
      <c r="B14" s="86"/>
      <c r="C14" s="56" t="s">
        <v>29</v>
      </c>
      <c r="D14" s="92"/>
      <c r="E14" s="96"/>
      <c r="F14" s="52">
        <v>2491948</v>
      </c>
      <c r="G14" s="52">
        <v>2780511</v>
      </c>
      <c r="H14" s="52">
        <v>2650600</v>
      </c>
      <c r="I14" s="58">
        <f t="shared" si="0"/>
        <v>2641019.67</v>
      </c>
      <c r="J14" s="100"/>
      <c r="K14" s="79" t="s">
        <v>5</v>
      </c>
    </row>
    <row r="15" spans="2:21" ht="69.75" customHeight="1" x14ac:dyDescent="0.25">
      <c r="B15" s="86"/>
      <c r="C15" s="56" t="s">
        <v>30</v>
      </c>
      <c r="D15" s="92"/>
      <c r="E15" s="96"/>
      <c r="F15" s="52">
        <v>2614531</v>
      </c>
      <c r="G15" s="52">
        <v>3200500</v>
      </c>
      <c r="H15" s="52">
        <v>3000120</v>
      </c>
      <c r="I15" s="58">
        <f t="shared" si="0"/>
        <v>2938383.67</v>
      </c>
      <c r="J15" s="100"/>
      <c r="K15" s="79" t="s">
        <v>5</v>
      </c>
    </row>
    <row r="16" spans="2:21" ht="69.75" customHeight="1" x14ac:dyDescent="0.25">
      <c r="B16" s="86"/>
      <c r="C16" s="56" t="s">
        <v>31</v>
      </c>
      <c r="D16" s="92"/>
      <c r="E16" s="96"/>
      <c r="F16" s="52">
        <v>379392</v>
      </c>
      <c r="G16" s="52">
        <v>320440</v>
      </c>
      <c r="H16" s="52">
        <v>380000</v>
      </c>
      <c r="I16" s="58">
        <f t="shared" si="0"/>
        <v>359944</v>
      </c>
      <c r="J16" s="100"/>
      <c r="K16" s="79" t="s">
        <v>5</v>
      </c>
    </row>
    <row r="17" spans="2:15" ht="48" customHeight="1" thickBot="1" x14ac:dyDescent="0.3">
      <c r="B17" s="87"/>
      <c r="C17" s="60" t="s">
        <v>32</v>
      </c>
      <c r="D17" s="92"/>
      <c r="E17" s="96"/>
      <c r="F17" s="61">
        <v>1481000</v>
      </c>
      <c r="G17" s="61">
        <v>1450000</v>
      </c>
      <c r="H17" s="61">
        <v>1800000</v>
      </c>
      <c r="I17" s="62">
        <f t="shared" si="0"/>
        <v>1577000</v>
      </c>
      <c r="J17" s="100"/>
      <c r="K17" s="80" t="s">
        <v>5</v>
      </c>
    </row>
    <row r="18" spans="2:15" ht="47.25" customHeight="1" thickBot="1" x14ac:dyDescent="0.3">
      <c r="B18" s="59"/>
      <c r="C18" s="63" t="s">
        <v>18</v>
      </c>
      <c r="D18" s="39" t="s">
        <v>5</v>
      </c>
      <c r="E18" s="39" t="s">
        <v>5</v>
      </c>
      <c r="F18" s="64">
        <v>10248691</v>
      </c>
      <c r="G18" s="64">
        <v>11384834</v>
      </c>
      <c r="H18" s="64">
        <v>10881620</v>
      </c>
      <c r="I18" s="65">
        <f>I11</f>
        <v>10838381.68</v>
      </c>
      <c r="J18" s="66" t="s">
        <v>5</v>
      </c>
      <c r="K18" s="67">
        <f>K11</f>
        <v>10838381.68</v>
      </c>
    </row>
    <row r="19" spans="2:15" ht="47.25" customHeight="1" x14ac:dyDescent="0.25">
      <c r="B19" s="45"/>
      <c r="C19" s="46"/>
      <c r="D19" s="47"/>
      <c r="E19" s="47"/>
      <c r="F19" s="48"/>
      <c r="G19" s="48"/>
      <c r="H19" s="48"/>
      <c r="I19" s="49"/>
      <c r="J19" s="50"/>
      <c r="K19" s="51"/>
    </row>
    <row r="20" spans="2:15" ht="26.25" customHeight="1" x14ac:dyDescent="0.25">
      <c r="B20" s="35"/>
      <c r="C20" s="36" t="s">
        <v>2</v>
      </c>
      <c r="D20" s="15" t="s">
        <v>5</v>
      </c>
      <c r="E20" s="15" t="s">
        <v>5</v>
      </c>
      <c r="F20" s="43" t="s">
        <v>38</v>
      </c>
      <c r="G20" s="43" t="s">
        <v>38</v>
      </c>
      <c r="H20" s="43" t="s">
        <v>38</v>
      </c>
      <c r="I20" s="13" t="s">
        <v>5</v>
      </c>
      <c r="J20" s="37" t="str">
        <f>I20</f>
        <v>х</v>
      </c>
      <c r="K20" s="38" t="str">
        <f t="shared" ref="K20:K21" si="1">J20</f>
        <v>х</v>
      </c>
    </row>
    <row r="21" spans="2:15" ht="30" customHeight="1" x14ac:dyDescent="0.25">
      <c r="B21" s="31"/>
      <c r="C21" s="32" t="s">
        <v>3</v>
      </c>
      <c r="D21" s="14" t="s">
        <v>5</v>
      </c>
      <c r="E21" s="14" t="s">
        <v>5</v>
      </c>
      <c r="F21" s="44" t="s">
        <v>37</v>
      </c>
      <c r="G21" s="44" t="s">
        <v>37</v>
      </c>
      <c r="H21" s="44" t="s">
        <v>37</v>
      </c>
      <c r="I21" s="33" t="s">
        <v>5</v>
      </c>
      <c r="J21" s="16" t="str">
        <f>I21</f>
        <v>х</v>
      </c>
      <c r="K21" s="30" t="str">
        <f t="shared" si="1"/>
        <v>х</v>
      </c>
      <c r="M21" s="82"/>
      <c r="N21" s="82"/>
      <c r="O21" s="82"/>
    </row>
    <row r="22" spans="2:15" ht="30" customHeight="1" x14ac:dyDescent="0.25">
      <c r="B22" s="17"/>
      <c r="C22" s="22"/>
      <c r="D22" s="23"/>
      <c r="E22" s="23"/>
      <c r="F22" s="18"/>
      <c r="G22" s="18"/>
      <c r="H22" s="18"/>
      <c r="I22" s="19"/>
      <c r="J22" s="20"/>
      <c r="K22" s="21"/>
      <c r="M22" s="82"/>
      <c r="N22" s="82"/>
      <c r="O22" s="82"/>
    </row>
    <row r="23" spans="2:15" ht="48" customHeight="1" x14ac:dyDescent="0.25">
      <c r="B23" s="28"/>
      <c r="C23" s="28"/>
      <c r="D23" s="28"/>
      <c r="E23" s="28"/>
      <c r="F23" s="28"/>
      <c r="G23" s="28"/>
      <c r="H23" s="29" t="s">
        <v>24</v>
      </c>
      <c r="I23" s="29" t="s">
        <v>25</v>
      </c>
      <c r="J23" s="29" t="s">
        <v>35</v>
      </c>
      <c r="K23" s="28"/>
      <c r="M23" s="82">
        <f>K11/1.22*0.22</f>
        <v>1954462.27</v>
      </c>
      <c r="N23" s="82">
        <f>M23+K9</f>
        <v>10838381.68</v>
      </c>
      <c r="O23" s="82"/>
    </row>
    <row r="24" spans="2:15" ht="30" customHeight="1" x14ac:dyDescent="0.25">
      <c r="B24" s="17"/>
      <c r="C24" s="22"/>
      <c r="D24" s="23"/>
      <c r="E24" s="23"/>
      <c r="F24" s="18"/>
      <c r="G24" s="18"/>
      <c r="H24" s="18"/>
      <c r="I24" s="19"/>
      <c r="J24" s="20"/>
      <c r="K24" s="21"/>
      <c r="M24" s="82"/>
      <c r="N24" s="82"/>
      <c r="O24" s="82"/>
    </row>
    <row r="25" spans="2:15" ht="30" customHeight="1" x14ac:dyDescent="0.25">
      <c r="B25" s="88" t="s">
        <v>22</v>
      </c>
      <c r="C25" s="88"/>
      <c r="D25" s="88"/>
      <c r="E25" s="88"/>
      <c r="F25" s="88"/>
      <c r="G25" s="88"/>
      <c r="H25" s="88"/>
      <c r="I25" s="88"/>
      <c r="J25" s="88"/>
      <c r="K25" s="88"/>
      <c r="L25" s="25"/>
      <c r="M25" s="25"/>
    </row>
    <row r="26" spans="2:15" ht="30" customHeight="1" x14ac:dyDescent="0.25">
      <c r="B26" s="24"/>
      <c r="C26" s="24"/>
      <c r="D26" s="24"/>
      <c r="E26" s="24"/>
      <c r="F26" s="24"/>
      <c r="G26" s="24"/>
      <c r="H26" s="24"/>
      <c r="I26" s="26"/>
      <c r="J26" s="24"/>
      <c r="K26" s="24"/>
      <c r="L26" s="24"/>
      <c r="M26" s="24"/>
    </row>
    <row r="27" spans="2:15" ht="15.75" x14ac:dyDescent="0.25">
      <c r="B27" s="27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2:15" ht="30" customHeight="1" x14ac:dyDescent="0.25">
      <c r="B28" s="24"/>
      <c r="C28" s="24"/>
      <c r="D28" s="24"/>
      <c r="E28" s="24"/>
      <c r="F28" s="24"/>
      <c r="G28" s="24"/>
      <c r="H28" s="24"/>
      <c r="I28" s="26"/>
      <c r="J28" s="24"/>
      <c r="K28" s="24"/>
      <c r="L28" s="24"/>
      <c r="M28" s="24"/>
    </row>
  </sheetData>
  <mergeCells count="18">
    <mergeCell ref="F1:K1"/>
    <mergeCell ref="B3:K3"/>
    <mergeCell ref="D5:K5"/>
    <mergeCell ref="B6:B8"/>
    <mergeCell ref="C6:C8"/>
    <mergeCell ref="D6:D8"/>
    <mergeCell ref="E6:E8"/>
    <mergeCell ref="F6:I6"/>
    <mergeCell ref="J6:J8"/>
    <mergeCell ref="B4:K4"/>
    <mergeCell ref="K6:K8"/>
    <mergeCell ref="F7:H7"/>
    <mergeCell ref="I7:I8"/>
    <mergeCell ref="B9:B17"/>
    <mergeCell ref="B25:K25"/>
    <mergeCell ref="D9:D17"/>
    <mergeCell ref="E9:E17"/>
    <mergeCell ref="J9:J17"/>
  </mergeCells>
  <pageMargins left="3.937007874015748E-2" right="0.23622047244094491" top="0.55118110236220474" bottom="0.74803149606299213" header="0.31496062992125984" footer="0.31496062992125984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</vt:lpstr>
      <vt:lpstr>Расчет!Область_печати</vt:lpstr>
    </vt:vector>
  </TitlesOfParts>
  <Company>ГКУ ЦОДД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Pogosyan</dc:creator>
  <cp:lastModifiedBy>Смирнова Анна Владимировна</cp:lastModifiedBy>
  <cp:lastPrinted>2026-07-06T14:32:26Z</cp:lastPrinted>
  <dcterms:created xsi:type="dcterms:W3CDTF">2014-09-04T06:56:13Z</dcterms:created>
  <dcterms:modified xsi:type="dcterms:W3CDTF">2026-07-28T10:44:24Z</dcterms:modified>
</cp:coreProperties>
</file>