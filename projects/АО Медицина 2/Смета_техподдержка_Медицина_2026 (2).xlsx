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<sst xmlns="http://schemas.openxmlformats.org/spreadsheetml/2006/main" count="34" uniqueCount="34">
  <si>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Смета на техническую поддержку и развитие сайтов АО «Медицина»</t>
  </si>
  <si>
    <t xml:space="preserve">Исходные параметры (заполняются Исполнителем — жёлтые ячейки)</t>
  </si>
  <si>
    <t xml:space="preserve">Ставка часа в рамках абонента</t>
  </si>
  <si>
    <t xml:space="preserve">Ставка часа сверх абонента</t>
  </si>
  <si>
    <t xml:space="preserve">Стоимость переноса 1 сайта</t>
  </si>
  <si>
    <t xml:space="preserve">Часов в абоненте в месяц</t>
  </si>
  <si>
    <t xml:space="preserve">Макс. часов сверх абонента в месяц</t>
  </si>
  <si>
    <t xml:space="preserve">№</t>
  </si>
  <si>
    <t xml:space="preserve">Позиция</t>
  </si>
  <si>
    <t xml:space="preserve">Расчёт</t>
  </si>
  <si>
    <t xml:space="preserve">Ед.</t>
  </si>
  <si>
    <t xml:space="preserve">Сумма</t>
  </si>
  <si>
    <t xml:space="preserve">1</t>
  </si>
  <si>
    <t xml:space="preserve">Абонентское обслуживание техподдержки</t>
  </si>
  <si>
    <t xml:space="preserve">₽/мес</t>
  </si>
  <si>
    <t xml:space="preserve">2</t>
  </si>
  <si>
    <t xml:space="preserve">То же за год</t>
  </si>
  <si>
    <t xml:space="preserve">12 мес × сумма п.1</t>
  </si>
  <si>
    <t xml:space="preserve">₽/год</t>
  </si>
  <si>
    <t xml:space="preserve">3</t>
  </si>
  <si>
    <t xml:space="preserve">Час сверх абонента</t>
  </si>
  <si>
    <t xml:space="preserve">единичная ставка</t>
  </si>
  <si>
    <t xml:space="preserve">₽/час</t>
  </si>
  <si>
    <t xml:space="preserve">4</t>
  </si>
  <si>
    <t xml:space="preserve">Разработка доп. функций (готовность, до макс.)</t>
  </si>
  <si>
    <t xml:space="preserve">до ₽/мес</t>
  </si>
  <si>
    <t xml:space="preserve">5</t>
  </si>
  <si>
    <t xml:space="preserve">Перенос 1 сайта на сервер Заказчика</t>
  </si>
  <si>
    <t xml:space="preserve">за ресурс</t>
  </si>
  <si>
    <t xml:space="preserve">₽/сайт</t>
  </si>
  <si>
    <t xml:space="preserve">• Оплата по ТЗ — по факту отработанных часов. Позиция 1 подаётся как «до 120 ч/мес по ставке», не фиксом.</t>
  </si>
  <si>
    <t xml:space="preserve">• Позиции 3–5 в ТЗ требуются как подтверждение готовности с указанием единичной цены.</t>
  </si>
  <si>
    <t xml:space="preserve">• НДС не заложен. Укажите режим налогообложения и НДС отдельной строкой.</t>
  </si>
  <si>
    <t xml:space="preserve">• Синим/жёлтым выделены вводные. Меняете ставки вверху — все суммы пересчитываются.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</si>
</sst>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₽&quot;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5F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4" min="3" style="0" width="20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4" t="n">
        <v>3000</v>
      </c>
    </row>
    <row r="5" customFormat="false" ht="15" hidden="false" customHeight="true" outlineLevel="0" collapsed="false">
      <c r="A5" s="3" t="s">
        <v>3</v>
      </c>
      <c r="B5" s="3"/>
      <c r="C5" s="3"/>
      <c r="D5" s="3"/>
      <c r="E5" s="4" t="n">
        <v>3500</v>
      </c>
    </row>
    <row r="6" customFormat="false" ht="15" hidden="false" customHeight="true" outlineLevel="0" collapsed="false">
      <c r="A6" s="3" t="s">
        <v>4</v>
      </c>
      <c r="B6" s="3"/>
      <c r="C6" s="3"/>
      <c r="D6" s="3"/>
      <c r="E6" s="4" t="n">
        <v>15000</v>
      </c>
    </row>
    <row r="7" customFormat="false" ht="15" hidden="false" customHeight="true" outlineLevel="0" collapsed="false">
      <c r="A7" s="3" t="s">
        <v>5</v>
      </c>
      <c r="B7" s="3"/>
      <c r="C7" s="3"/>
      <c r="D7" s="3"/>
      <c r="E7" s="5" t="n">
        <v>120</v>
      </c>
    </row>
    <row r="8" customFormat="false" ht="15" hidden="false" customHeight="true" outlineLevel="0" collapsed="false">
      <c r="A8" s="3" t="s">
        <v>6</v>
      </c>
      <c r="B8" s="3"/>
      <c r="C8" s="3"/>
      <c r="D8" s="3"/>
      <c r="E8" s="5" t="n">
        <v>80</v>
      </c>
    </row>
    <row r="10" customFormat="false" ht="19.5" hidden="false" customHeight="true" outlineLevel="0" collapsed="false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</row>
    <row r="11" customFormat="false" ht="30" hidden="false" customHeight="true" outlineLevel="0" collapsed="false">
      <c r="A11" s="7" t="s">
        <v>12</v>
      </c>
      <c r="B11" s="8" t="s">
        <v>13</v>
      </c>
      <c r="C11" s="9" t="str">
        <f aca="false">E7&amp;" ч × "&amp;TEXT(E4,"#,##0")&amp;" ₽"</f>
        <v>120 ч × 3,000 ₽</v>
      </c>
      <c r="D11" s="7" t="s">
        <v>14</v>
      </c>
      <c r="E11" s="10" t="n">
        <f aca="false">E7*E4</f>
        <v>360000</v>
      </c>
    </row>
    <row r="12" customFormat="false" ht="30" hidden="false" customHeight="true" outlineLevel="0" collapsed="false">
      <c r="A12" s="7" t="s">
        <v>15</v>
      </c>
      <c r="B12" s="8" t="s">
        <v>16</v>
      </c>
      <c r="C12" s="9" t="s">
        <v>17</v>
      </c>
      <c r="D12" s="7" t="s">
        <v>18</v>
      </c>
      <c r="E12" s="10" t="n">
        <f aca="false">E7*E4*12</f>
        <v>4320000</v>
      </c>
    </row>
    <row r="13" customFormat="false" ht="30" hidden="false" customHeight="true" outlineLevel="0" collapsed="false">
      <c r="A13" s="7" t="s">
        <v>19</v>
      </c>
      <c r="B13" s="8" t="s">
        <v>20</v>
      </c>
      <c r="C13" s="9" t="s">
        <v>21</v>
      </c>
      <c r="D13" s="7" t="s">
        <v>22</v>
      </c>
      <c r="E13" s="10" t="n">
        <f aca="false">E5</f>
        <v>3500</v>
      </c>
    </row>
    <row r="14" customFormat="false" ht="30" hidden="false" customHeight="true" outlineLevel="0" collapsed="false">
      <c r="A14" s="7" t="s">
        <v>23</v>
      </c>
      <c r="B14" s="8" t="s">
        <v>24</v>
      </c>
      <c r="C14" s="9" t="str">
        <f aca="false">E8&amp;" ч × "&amp;TEXT(E5,"#,##0")&amp;" ₽"</f>
        <v>80 ч × 3,500 ₽</v>
      </c>
      <c r="D14" s="7" t="s">
        <v>25</v>
      </c>
      <c r="E14" s="10" t="n">
        <f aca="false">E8*E5</f>
        <v>280000</v>
      </c>
    </row>
    <row r="15" customFormat="false" ht="30" hidden="false" customHeight="true" outlineLevel="0" collapsed="false">
      <c r="A15" s="7" t="s">
        <v>26</v>
      </c>
      <c r="B15" s="8" t="s">
        <v>27</v>
      </c>
      <c r="C15" s="9" t="s">
        <v>28</v>
      </c>
      <c r="D15" s="7" t="s">
        <v>29</v>
      </c>
      <c r="E15" s="10" t="n">
        <f aca="false">E6</f>
        <v>15000</v>
      </c>
    </row>
    <row r="17" customFormat="false" ht="25.5" hidden="false" customHeight="true" outlineLevel="0" collapsed="false">
      <c r="A17" s="11" t="s">
        <v>30</v>
      </c>
      <c r="B17" s="11"/>
      <c r="C17" s="11"/>
      <c r="D17" s="11"/>
      <c r="E17" s="11"/>
    </row>
    <row r="18" customFormat="false" ht="25.5" hidden="false" customHeight="true" outlineLevel="0" collapsed="false">
      <c r="A18" s="11" t="s">
        <v>31</v>
      </c>
      <c r="B18" s="11"/>
      <c r="C18" s="11"/>
      <c r="D18" s="11"/>
      <c r="E18" s="11"/>
    </row>
    <row r="19" customFormat="false" ht="25.5" hidden="false" customHeight="true" outlineLevel="0" collapsed="false">
      <c r="A19" s="11" t="s">
        <v>32</v>
      </c>
      <c r="B19" s="11"/>
      <c r="C19" s="11"/>
      <c r="D19" s="11"/>
      <c r="E19" s="11"/>
    </row>
    <row r="20" customFormat="false" ht="25.5" hidden="false" customHeight="true" outlineLevel="0" collapsed="false">
      <c r="A20" s="11" t="s">
        <v>33</v>
      </c>
      <c r="B20" s="11"/>
      <c r="C20" s="11"/>
      <c r="D20" s="11"/>
      <c r="E20" s="11"/>
    </row>
  </sheetData>
  <mergeCells count="11">
    <mergeCell ref="A1:E1"/>
    <mergeCell ref="A3:E3"/>
    <mergeCell ref="A4:D4"/>
    <mergeCell ref="A5:D5"/>
    <mergeCell ref="A6:D6"/>
    <mergeCell ref="A7:D7"/>
    <mergeCell ref="A8:D8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2026-07-31T14:33:03Z</dcterms:created>
  <dc:creator>openpyxl</dc:creator>
  <dc:description/>
  <dc:language>en-US</dc:language>
  <cp:lastModifiedBy/>
  <dcterms:modified xsi:type="dcterms:W3CDTF">2026-07-31T14:33:03Z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