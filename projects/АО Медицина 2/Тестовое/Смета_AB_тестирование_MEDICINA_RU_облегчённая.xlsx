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Ставки" sheetId="1" state="hidden" r:id="rId1"/>
    <sheet xmlns:r="http://schemas.openxmlformats.org/officeDocument/2006/relationships" name="Смета" sheetId="2" state="visible" r:id="rId2"/>
    <sheet xmlns:r="http://schemas.openxmlformats.org/officeDocument/2006/relationships" name="Резюме сметы" sheetId="3" state="visible" r:id="rId3"/>
    <sheet xmlns:r="http://schemas.openxmlformats.org/officeDocument/2006/relationships" name="Версии A-B-C" sheetId="4" state="visible" r:id="rId4"/>
    <sheet xmlns:r="http://schemas.openxmlformats.org/officeDocument/2006/relationships" name="Допущения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charset val="1"/>
      <family val="0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Times New Roman"/>
      <charset val="1"/>
      <family val="0"/>
      <b val="1"/>
      <color theme="1"/>
      <sz val="14"/>
    </font>
    <font>
      <name val="Times New Roman"/>
      <charset val="1"/>
      <family val="0"/>
      <i val="1"/>
      <color theme="1"/>
      <sz val="10"/>
    </font>
    <font>
      <name val="Times New Roman"/>
      <charset val="1"/>
      <family val="0"/>
      <b val="1"/>
      <color rgb="FFFFFFFF"/>
      <sz val="11"/>
    </font>
    <font>
      <name val="Times New Roman"/>
      <charset val="1"/>
      <family val="0"/>
      <color theme="1"/>
      <sz val="11"/>
    </font>
    <font>
      <name val="Times New Roman"/>
      <charset val="1"/>
      <family val="0"/>
      <color rgb="FF0000FF"/>
      <sz val="11"/>
    </font>
    <font>
      <name val="Times New Roman"/>
      <charset val="1"/>
      <family val="0"/>
      <i val="1"/>
      <color theme="1"/>
      <sz val="11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b val="1"/>
      <color theme="1"/>
      <sz val="12"/>
    </font>
    <font>
      <name val="Times New Roman"/>
      <charset val="1"/>
      <family val="0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13123A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E8E6F7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3" fontId="8" fillId="3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3" fontId="8" fillId="3" borderId="1" applyAlignment="1" pivotButton="0" quotePrefix="0" xfId="0">
      <alignment horizontal="center" vertical="top" wrapText="1"/>
    </xf>
    <xf numFmtId="3" fontId="7" fillId="0" borderId="1" applyAlignment="1" pivotButton="0" quotePrefix="0" xfId="0">
      <alignment horizontal="center" vertical="top" wrapText="1"/>
    </xf>
    <xf numFmtId="3" fontId="10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10" fontId="10" fillId="0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3" fontId="8" fillId="3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3" fontId="8" fillId="3" borderId="1" applyAlignment="1" pivotButton="0" quotePrefix="0" xfId="0">
      <alignment horizontal="center" vertical="top" wrapText="1"/>
    </xf>
    <xf numFmtId="3" fontId="7" fillId="0" borderId="1" applyAlignment="1" pivotButton="0" quotePrefix="0" xfId="0">
      <alignment horizontal="center" vertical="top" wrapText="1"/>
    </xf>
    <xf numFmtId="3" fontId="10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10" fontId="10" fillId="0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3123A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E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customHeight="1" zeroHeight="0" outlineLevelRow="0"/>
  <cols>
    <col width="34" customWidth="1" style="34" min="1" max="1"/>
    <col width="16" customWidth="1" style="34" min="2" max="2"/>
    <col width="56" customWidth="1" style="34" min="3" max="3"/>
    <col width="8.710000000000001" customWidth="1" style="34" min="4" max="26"/>
  </cols>
  <sheetData>
    <row r="1" ht="17.35" customHeight="1" s="35">
      <c r="A1" s="36" t="inlineStr">
        <is>
          <t>Ставки специалистов</t>
        </is>
      </c>
      <c r="B1" s="34" t="n"/>
      <c r="C1" s="34" t="n"/>
    </row>
    <row r="2" ht="15" customHeight="1" s="35">
      <c r="A2" s="37" t="n"/>
      <c r="B2" s="34" t="n"/>
      <c r="C2" s="34" t="n"/>
    </row>
    <row r="3" ht="15" customHeight="1" s="35">
      <c r="A3" s="34" t="n"/>
      <c r="B3" s="34" t="n"/>
      <c r="C3" s="34" t="n"/>
    </row>
    <row r="4" ht="15" customHeight="1" s="35">
      <c r="A4" s="38" t="inlineStr">
        <is>
          <t>Роль</t>
        </is>
      </c>
      <c r="B4" s="38" t="inlineStr">
        <is>
          <t>Ставка, ₽/час</t>
        </is>
      </c>
      <c r="C4" s="38" t="inlineStr">
        <is>
          <t>Зона ответственности</t>
        </is>
      </c>
    </row>
    <row r="5" ht="15" customHeight="1" s="35">
      <c r="A5" s="39" t="inlineStr">
        <is>
          <t>Аналитик / проектный менеджер</t>
        </is>
      </c>
      <c r="B5" s="40" t="n">
        <v>1800</v>
      </c>
      <c r="C5" s="39" t="inlineStr">
        <is>
          <t>Аудит страницы, сценарии, координация, отчётность</t>
        </is>
      </c>
    </row>
    <row r="6" ht="15" customHeight="1" s="35">
      <c r="A6" s="39" t="inlineStr">
        <is>
          <t>Копирайтер</t>
        </is>
      </c>
      <c r="B6" s="40" t="n">
        <v>1800</v>
      </c>
      <c r="C6" s="39" t="inlineStr">
        <is>
          <t>Медицинский копирайтинг, тексты CTA, FAQ, дисклеймеры</t>
        </is>
      </c>
    </row>
    <row r="7" ht="15" customHeight="1" s="35">
      <c r="A7" s="39" t="inlineStr">
        <is>
          <t>UX/UI-дизайнер</t>
        </is>
      </c>
      <c r="B7" s="40" t="n">
        <v>2000</v>
      </c>
      <c r="C7" s="39" t="inlineStr">
        <is>
          <t>Прототипы Figma, дизайн-макеты, подготовка графики</t>
        </is>
      </c>
    </row>
    <row r="8" ht="15" customHeight="1" s="35">
      <c r="A8" s="39" t="inlineStr">
        <is>
          <t>Верстальщик</t>
        </is>
      </c>
      <c r="B8" s="40" t="n">
        <v>2500</v>
      </c>
      <c r="C8" s="39" t="inlineStr">
        <is>
          <t>Адаптивная вёрстка, кроссбраузерность, оптимизация</t>
        </is>
      </c>
    </row>
    <row r="9" ht="15" customHeight="1" s="35">
      <c r="A9" s="39" t="inlineStr">
        <is>
          <t>Программист 1С-Битрикс</t>
        </is>
      </c>
      <c r="B9" s="40" t="n">
        <v>2500</v>
      </c>
      <c r="C9" s="39" t="inlineStr">
        <is>
          <t>Шаблоны, формы, интеграции, микроразметка, публикация</t>
        </is>
      </c>
    </row>
    <row r="10" ht="15" customHeight="1" s="35">
      <c r="A10" s="39" t="inlineStr">
        <is>
          <t>QA-инженер</t>
        </is>
      </c>
      <c r="B10" s="40" t="n">
        <v>1800</v>
      </c>
      <c r="C10" s="39" t="inlineStr">
        <is>
          <t>Функциональное и кроссбраузерное тестирование, замеры</t>
        </is>
      </c>
    </row>
    <row r="11" ht="15" customHeight="1" s="35"/>
    <row r="12" ht="15" customHeight="1" s="35"/>
    <row r="13" ht="15" customHeight="1" s="35"/>
    <row r="14" ht="15" customHeight="1" s="35"/>
    <row r="15" ht="15" customHeight="1" s="35"/>
    <row r="16" ht="15" customHeight="1" s="35"/>
    <row r="17" ht="15" customHeight="1" s="35"/>
    <row r="18" ht="15" customHeight="1" s="35"/>
    <row r="19" ht="15" customHeight="1" s="35"/>
    <row r="20" ht="15" customHeight="1" s="35"/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9" activeCellId="0" sqref="C9"/>
    </sheetView>
  </sheetViews>
  <sheetFormatPr baseColWidth="8" defaultColWidth="14.43359375" defaultRowHeight="15" customHeight="1" zeroHeight="0" outlineLevelRow="0"/>
  <cols>
    <col width="5" customWidth="1" style="34" min="1" max="1"/>
    <col width="30" customWidth="1" style="34" min="2" max="2"/>
    <col width="66" customWidth="1" style="34" min="3" max="3"/>
    <col width="8" customWidth="1" style="34" min="4" max="4"/>
    <col width="26" customWidth="1" style="34" min="5" max="5"/>
    <col hidden="1" width="12" customWidth="1" style="34" min="6" max="6"/>
    <col width="14" customWidth="1" style="34" min="7" max="7"/>
    <col width="12" customWidth="1" style="34" min="8" max="8"/>
    <col width="22" customWidth="1" style="34" min="9" max="9"/>
    <col width="8.710000000000001" customWidth="1" style="34" min="10" max="26"/>
  </cols>
  <sheetData>
    <row r="1" ht="17.35" customHeight="1" s="35">
      <c r="A1" s="36" t="inlineStr">
        <is>
          <t>Детальная смета: разработка посадочных страниц для A/B тестирования, MEDICINA.RU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2" ht="15" customHeight="1" s="35">
      <c r="A2" s="41" t="inlineStr">
        <is>
          <t>Тема: «Эндопротезирование суставов». 3 версии страницы (A / B / C), десктоп + мобайл.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</row>
    <row r="3" ht="15" customHeight="1" s="35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</row>
    <row r="4" ht="25.3" customHeight="1" s="35">
      <c r="A4" s="38" t="inlineStr">
        <is>
          <t>№</t>
        </is>
      </c>
      <c r="B4" s="38" t="inlineStr">
        <is>
          <t>Этап</t>
        </is>
      </c>
      <c r="C4" s="38" t="inlineStr">
        <is>
          <t>Состав работ</t>
        </is>
      </c>
      <c r="D4" s="38" t="inlineStr">
        <is>
          <t>Часы</t>
        </is>
      </c>
      <c r="E4" s="38" t="inlineStr">
        <is>
          <t>Роль</t>
        </is>
      </c>
      <c r="F4" s="38" t="inlineStr">
        <is>
          <t>Ставка, ₽/ч</t>
        </is>
      </c>
      <c r="G4" s="38" t="inlineStr">
        <is>
          <t>Стоимость, ₽</t>
        </is>
      </c>
      <c r="H4" s="38" t="inlineStr">
        <is>
          <t>Срок, раб. дн.</t>
        </is>
      </c>
      <c r="I4" s="38" t="inlineStr">
        <is>
          <t>Веха</t>
        </is>
      </c>
    </row>
    <row r="5" ht="37.3" customHeight="1" s="35">
      <c r="A5" s="42" t="n">
        <v>1</v>
      </c>
      <c r="B5" s="43" t="inlineStr">
        <is>
          <t>Аналитика и подготовка</t>
        </is>
      </c>
      <c r="C5" s="44" t="inlineStr">
        <is>
          <t>Аудит текущей страницы (структура, конверсионные узлы, PageSpeed Insights), разбор поисковых запросов по теме, фиксация сценариев A/B/C, согласование состава блоков с Заказчиком</t>
        </is>
      </c>
      <c r="D5" s="45" t="n">
        <v>8</v>
      </c>
      <c r="E5" s="44" t="inlineStr">
        <is>
          <t>Аналитик / проектный менеджер</t>
        </is>
      </c>
      <c r="F5" s="46">
        <f t="array" ref="F5:F5">INDEX(Ставки!$B$5:$B$10,MATCH(E5,Ставки!$A$5:$A$10,0))</f>
        <v/>
      </c>
      <c r="G5" s="47">
        <f>D5*F5</f>
        <v/>
      </c>
      <c r="H5" s="42">
        <f>ROUNDUP(D5/8,0)</f>
        <v/>
      </c>
      <c r="I5" s="44" t="inlineStr">
        <is>
          <t>I. Прототипы и тексты</t>
        </is>
      </c>
    </row>
    <row r="6" ht="37.3" customHeight="1" s="35">
      <c r="A6" s="42" t="n">
        <v>2</v>
      </c>
      <c r="B6" s="43" t="inlineStr">
        <is>
          <t>Копирайтинг</t>
        </is>
      </c>
      <c r="C6" s="44" t="inlineStr">
        <is>
          <t>Тексты для 3 версий: заголовки, подзаголовки, описания блоков (процедура, показания, противопоказания, подготовка, реабилитация), тексты кнопок, дисклеймеры, примеры отзывов, FAQ. Тексты чек-листа для версии C</t>
        </is>
      </c>
      <c r="D6" s="45" t="n">
        <v>8</v>
      </c>
      <c r="E6" s="44" t="inlineStr">
        <is>
          <t>Копирайтер</t>
        </is>
      </c>
      <c r="F6" s="46">
        <f t="array" ref="F6:F6">INDEX(Ставки!$B$5:$B$10,MATCH(E6,Ставки!$A$5:$A$10,0))</f>
        <v/>
      </c>
      <c r="G6" s="47">
        <f>D6*F6</f>
        <v/>
      </c>
      <c r="H6" s="42">
        <f>ROUNDUP(D6/8,0)</f>
        <v/>
      </c>
      <c r="I6" s="44" t="inlineStr">
        <is>
          <t>I. Прототипы и тексты</t>
        </is>
      </c>
    </row>
    <row r="7" ht="37.3" customHeight="1" s="35">
      <c r="A7" s="42" t="n">
        <v>3</v>
      </c>
      <c r="B7" s="43" t="inlineStr">
        <is>
          <t>Дизайн прототипов (UX)</t>
        </is>
      </c>
      <c r="C7" s="44" t="inlineStr">
        <is>
          <t>6 интерактивных прототипов в Figma (3 версии × десктоп/мобайл): структура, сетка, состояния CTA, формы, связи между экранами. Комментарии с примерами JSON-LD по каждому типу микроразметки. 2 раунда правок</t>
        </is>
      </c>
      <c r="D7" s="45" t="n">
        <v>8</v>
      </c>
      <c r="E7" s="44" t="inlineStr">
        <is>
          <t>UX/UI-дизайнер</t>
        </is>
      </c>
      <c r="F7" s="46">
        <f t="array" ref="F7:F7">INDEX(Ставки!$B$5:$B$10,MATCH(E7,Ставки!$A$5:$A$10,0))</f>
        <v/>
      </c>
      <c r="G7" s="47">
        <f>D7*F7</f>
        <v/>
      </c>
      <c r="H7" s="42">
        <f>ROUNDUP(D7/8,0)</f>
        <v/>
      </c>
      <c r="I7" s="44" t="inlineStr">
        <is>
          <t>I. Прототипы и тексты</t>
        </is>
      </c>
    </row>
    <row r="8" ht="37.3" customHeight="1" s="35">
      <c r="A8" s="42" t="n">
        <v>4</v>
      </c>
      <c r="B8" s="43" t="inlineStr">
        <is>
          <t>Дизайн-макеты (UI)</t>
        </is>
      </c>
      <c r="C8" s="44" t="inlineStr">
        <is>
          <t>Отрисовка в фирменном стиле medicina.ru, десктоп и мобайл, подготовка и оптимизация графики (все изображения менее 500 КБ согласно Приложению 1)</t>
        </is>
      </c>
      <c r="D8" s="45" t="n">
        <v>8</v>
      </c>
      <c r="E8" s="44" t="inlineStr">
        <is>
          <t>UX/UI-дизайнер</t>
        </is>
      </c>
      <c r="F8" s="46">
        <f t="array" ref="F8:F8">INDEX(Ставки!$B$5:$B$10,MATCH(E8,Ставки!$A$5:$A$10,0))</f>
        <v/>
      </c>
      <c r="G8" s="47">
        <f>D8*F8</f>
        <v/>
      </c>
      <c r="H8" s="42">
        <f>ROUNDUP(D8/8,0)</f>
        <v/>
      </c>
      <c r="I8" s="44" t="inlineStr">
        <is>
          <t>II. Дизайн и разработка</t>
        </is>
      </c>
    </row>
    <row r="9" ht="37.3" customHeight="1" s="35">
      <c r="A9" s="42" t="n">
        <v>5</v>
      </c>
      <c r="B9" s="43" t="inlineStr">
        <is>
          <t>Вёрстка</t>
        </is>
      </c>
      <c r="C9" s="44" t="inlineStr">
        <is>
          <t>Адаптивная семантическая вёрстка 3 страниц, кроссбраузерность, «ленивая» загрузка изображений, устранение критических ошибок W3C, оптимизация под PageSpeed Insights</t>
        </is>
      </c>
      <c r="D9" s="45" t="n">
        <v>16</v>
      </c>
      <c r="E9" s="44" t="inlineStr">
        <is>
          <t>Верстальщик</t>
        </is>
      </c>
      <c r="F9" s="46">
        <f t="array" ref="F9:F9">INDEX(Ставки!$B$5:$B$10,MATCH(E9,Ставки!$A$5:$A$10,0))</f>
        <v/>
      </c>
      <c r="G9" s="47">
        <f>D9*F9</f>
        <v/>
      </c>
      <c r="H9" s="42">
        <f>ROUNDUP(D9/8,0)</f>
        <v/>
      </c>
      <c r="I9" s="44" t="inlineStr">
        <is>
          <t>II. Дизайн и разработка</t>
        </is>
      </c>
    </row>
    <row r="10" ht="49.35" customHeight="1" s="35">
      <c r="A10" s="42" t="n">
        <v>6</v>
      </c>
      <c r="B10" s="43" t="inlineStr">
        <is>
          <t>Backend (1С-Битрикс)</t>
        </is>
      </c>
      <c r="C10" s="44" t="inlineStr">
        <is>
          <t>Шаблоны страниц, вывод контента из инфоблоков через ResizeImageGet, формы записи и подписки с валидацией и согласием на обработку ПДн (152-ФЗ), передача заявок в МИС/CRM, отдача файла чек-листа для версии C, настройка кеширования и композита</t>
        </is>
      </c>
      <c r="D10" s="45" t="n">
        <v>32</v>
      </c>
      <c r="E10" s="44" t="inlineStr">
        <is>
          <t>Программист 1С-Битрикс</t>
        </is>
      </c>
      <c r="F10" s="46">
        <f t="array" ref="F10:F10">INDEX(Ставки!$B$5:$B$10,MATCH(E10,Ставки!$A$5:$A$10,0))</f>
        <v/>
      </c>
      <c r="G10" s="47">
        <f>D10*F10</f>
        <v/>
      </c>
      <c r="H10" s="42">
        <f>ROUNDUP(D10/8,0)</f>
        <v/>
      </c>
      <c r="I10" s="44" t="inlineStr">
        <is>
          <t>II. Дизайн и разработка</t>
        </is>
      </c>
    </row>
    <row r="11" ht="37.3" customHeight="1" s="35">
      <c r="A11" s="42" t="n">
        <v>7</v>
      </c>
      <c r="B11" s="43" t="inlineStr">
        <is>
          <t>Внедрение микроразметки</t>
        </is>
      </c>
      <c r="C11" s="44" t="inlineStr">
        <is>
          <t>JSON-LD: MedicalOrganization, MedicalWebPage / MedicalProcedure, BreadcrumbList, а также FAQPage и Physician сверх минимальных требований. Валидация в Schema Markup Validator и Яндекс.Вебмастере</t>
        </is>
      </c>
      <c r="D11" s="45" t="n">
        <v>8</v>
      </c>
      <c r="E11" s="44" t="inlineStr">
        <is>
          <t>Программист 1С-Битрикс</t>
        </is>
      </c>
      <c r="F11" s="46">
        <f t="array" ref="F11:F11">INDEX(Ставки!$B$5:$B$10,MATCH(E11,Ставки!$A$5:$A$10,0))</f>
        <v/>
      </c>
      <c r="G11" s="47">
        <f>D11*F11</f>
        <v/>
      </c>
      <c r="H11" s="42">
        <f>ROUNDUP(D11/8,0)</f>
        <v/>
      </c>
      <c r="I11" s="44" t="inlineStr">
        <is>
          <t>II. Дизайн и разработка</t>
        </is>
      </c>
    </row>
    <row r="12" ht="37.3" customHeight="1" s="35">
      <c r="A12" s="42" t="n">
        <v>8</v>
      </c>
      <c r="B12" s="43" t="inlineStr">
        <is>
          <t>Размещение и настройка A/B-теста</t>
        </is>
      </c>
      <c r="C12" s="44" t="inlineStr">
        <is>
          <t>Публикация на боевом сайте через GitHub-репозиторий Заказчика, распределение трафика 33/33/33, настройка целей в Яндекс.Метрике (звонок, отправка формы, скачивание чек-листа), карта кликов, коллтрекинг</t>
        </is>
      </c>
      <c r="D12" s="45" t="n">
        <v>8</v>
      </c>
      <c r="E12" s="44" t="inlineStr">
        <is>
          <t>Программист 1С-Битрикс</t>
        </is>
      </c>
      <c r="F12" s="46">
        <f t="array" ref="F12:F12">INDEX(Ставки!$B$5:$B$10,MATCH(E12,Ставки!$A$5:$A$10,0))</f>
        <v/>
      </c>
      <c r="G12" s="47">
        <f>D12*F12</f>
        <v/>
      </c>
      <c r="H12" s="42">
        <f>ROUNDUP(D12/8,0)</f>
        <v/>
      </c>
      <c r="I12" s="44" t="inlineStr">
        <is>
          <t>III. Запуск и аналитика</t>
        </is>
      </c>
    </row>
    <row r="13" ht="37.3" customHeight="1" s="35">
      <c r="A13" s="42" t="n">
        <v>9</v>
      </c>
      <c r="B13" s="43" t="inlineStr">
        <is>
          <t>Тестирование и приёмка</t>
        </is>
      </c>
      <c r="C13" s="44" t="inlineStr">
        <is>
          <t>Функциональное и кроссбраузерное тестирование, проверка форм и доставки заявок, замеры PageSpeed Insights по всем трём версиям, проверка на тестовом контуре до выкатки в публичную часть</t>
        </is>
      </c>
      <c r="D13" s="45" t="n">
        <v>8</v>
      </c>
      <c r="E13" s="44" t="inlineStr">
        <is>
          <t>QA-инженер</t>
        </is>
      </c>
      <c r="F13" s="46">
        <f t="array" ref="F13:F13">INDEX(Ставки!$B$5:$B$10,MATCH(E13,Ставки!$A$5:$A$10,0))</f>
        <v/>
      </c>
      <c r="G13" s="47">
        <f>D13*F13</f>
        <v/>
      </c>
      <c r="H13" s="42">
        <f>ROUNDUP(D13/8,0)</f>
        <v/>
      </c>
      <c r="I13" s="44" t="inlineStr">
        <is>
          <t>III. Запуск и аналитика</t>
        </is>
      </c>
    </row>
    <row r="14" ht="37.3" customHeight="1" s="35">
      <c r="A14" s="42" t="n">
        <v>10</v>
      </c>
      <c r="B14" s="43" t="inlineStr">
        <is>
          <t>Сопровождение теста и отчёт</t>
        </is>
      </c>
      <c r="C14" s="44" t="inlineStr">
        <is>
          <t>Мониторинг в течение 4 недель, промежуточный срез на 2-й неделе, финальный отчёт с рекомендацией по версии-победителю и оценкой статистической значимости результата</t>
        </is>
      </c>
      <c r="D14" s="45" t="n">
        <v>12</v>
      </c>
      <c r="E14" s="44" t="inlineStr">
        <is>
          <t>Аналитик / проектный менеджер</t>
        </is>
      </c>
      <c r="F14" s="46">
        <f t="array" ref="F14:F14">INDEX(Ставки!$B$5:$B$10,MATCH(E14,Ставки!$A$5:$A$10,0))</f>
        <v/>
      </c>
      <c r="G14" s="47">
        <f>D14*F14</f>
        <v/>
      </c>
      <c r="H14" s="42" t="n">
        <v>20</v>
      </c>
      <c r="I14" s="44" t="inlineStr">
        <is>
          <t>III. Запуск и аналитика</t>
        </is>
      </c>
    </row>
    <row r="15" ht="46.95" customHeight="1" s="35">
      <c r="A15" s="48" t="n"/>
      <c r="B15" s="49" t="inlineStr">
        <is>
          <t>ИТОГО(БЕЗ НДС)</t>
        </is>
      </c>
      <c r="C15" s="50" t="n"/>
      <c r="D15" s="51">
        <f>SUM(D5:D14)</f>
        <v/>
      </c>
      <c r="E15" s="50" t="n"/>
      <c r="F15" s="48" t="n"/>
      <c r="G15" s="51">
        <f>SUM(G5:G14)</f>
        <v/>
      </c>
      <c r="H15" s="52" t="inlineStr">
        <is>
          <t>15 раб. дн. до запуска + 4 нед. Мониторинга</t>
        </is>
      </c>
      <c r="I15" s="50" t="n"/>
    </row>
    <row r="16" ht="15" customHeight="1" s="35">
      <c r="A16" s="34" t="n"/>
      <c r="B16" s="34" t="n"/>
      <c r="C16" s="34" t="n"/>
      <c r="D16" s="34" t="n"/>
      <c r="E16" s="34" t="n"/>
      <c r="F16" s="43" t="inlineStr">
        <is>
          <t xml:space="preserve">НДС </t>
        </is>
      </c>
      <c r="G16" s="53" t="n">
        <v>0.22</v>
      </c>
      <c r="H16" s="34" t="n"/>
      <c r="I16" s="34" t="n"/>
    </row>
    <row r="17" ht="25.3" customHeight="1" s="35">
      <c r="A17" s="34" t="n"/>
      <c r="B17" s="54" t="n"/>
      <c r="C17" s="34" t="n"/>
      <c r="D17" s="34" t="n"/>
      <c r="E17" s="34" t="n"/>
      <c r="F17" s="43" t="inlineStr">
        <is>
          <t>Итого с НДС(22%)</t>
        </is>
      </c>
      <c r="G17" s="51">
        <f>G15+(G15*G16)</f>
        <v/>
      </c>
      <c r="H17" s="34" t="n"/>
      <c r="I17" s="34" t="n"/>
    </row>
    <row r="18" ht="15" customHeight="1" s="35"/>
    <row r="19" ht="15" customHeight="1" s="35"/>
    <row r="20" ht="15" customHeight="1" s="35"/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customHeight="1" zeroHeight="0" outlineLevelRow="0"/>
  <cols>
    <col width="26" customWidth="1" style="34" min="1" max="1"/>
    <col width="10" customWidth="1" style="34" min="2" max="3"/>
    <col width="16" customWidth="1" style="34" min="4" max="4"/>
    <col width="10" customWidth="1" style="34" min="5" max="5"/>
    <col width="70" customWidth="1" style="34" min="6" max="6"/>
    <col width="8.710000000000001" customWidth="1" style="34" min="7" max="26"/>
  </cols>
  <sheetData>
    <row r="1" ht="17.35" customHeight="1" s="35">
      <c r="A1" s="36" t="inlineStr">
        <is>
          <t>Резюме сметы</t>
        </is>
      </c>
      <c r="B1" s="34" t="n"/>
      <c r="C1" s="34" t="n"/>
      <c r="D1" s="34" t="n"/>
      <c r="E1" s="34" t="n"/>
      <c r="F1" s="34" t="n"/>
    </row>
    <row r="2" ht="15" customHeight="1" s="35">
      <c r="A2" s="34" t="n"/>
      <c r="B2" s="34" t="n"/>
      <c r="C2" s="34" t="n"/>
      <c r="D2" s="34" t="n"/>
      <c r="E2" s="34" t="n"/>
      <c r="F2" s="34" t="n"/>
    </row>
    <row r="3" ht="15" customHeight="1" s="35">
      <c r="A3" s="38" t="inlineStr">
        <is>
          <t>Веха</t>
        </is>
      </c>
      <c r="B3" s="38" t="inlineStr">
        <is>
          <t>Этапы</t>
        </is>
      </c>
      <c r="C3" s="38" t="inlineStr">
        <is>
          <t>Часы</t>
        </is>
      </c>
      <c r="D3" s="38" t="inlineStr">
        <is>
          <t>Стоимость, ₽</t>
        </is>
      </c>
      <c r="E3" s="38" t="inlineStr">
        <is>
          <t>Доля</t>
        </is>
      </c>
      <c r="F3" s="38" t="inlineStr">
        <is>
          <t>Результат для Заказчика</t>
        </is>
      </c>
    </row>
    <row r="4" ht="25.3" customHeight="1" s="35">
      <c r="A4" s="43" t="inlineStr">
        <is>
          <t>I. Прототипы и тексты</t>
        </is>
      </c>
      <c r="B4" s="42" t="inlineStr">
        <is>
          <t>1–3</t>
        </is>
      </c>
      <c r="C4" s="46">
        <f>SUMIF(Смета!$I$5:$I$14,A4,Смета!$D$5:$D$14)</f>
        <v/>
      </c>
      <c r="D4" s="47">
        <f>SUMIF(Смета!$I$5:$I$14,A4,Смета!$G$5:$G$14)</f>
        <v/>
      </c>
      <c r="E4" s="55">
        <f>IFERROR(D4/$D$7,0)</f>
        <v/>
      </c>
      <c r="F4" s="44" t="inlineStr">
        <is>
          <t>6 прототипов в Figma с полными текстами и примерами JSON-LD в комментариях. Самодостаточный результат: Заказчик может остановиться на этой вехе</t>
        </is>
      </c>
    </row>
    <row r="5" ht="25.3" customHeight="1" s="35">
      <c r="A5" s="43" t="inlineStr">
        <is>
          <t>II. Дизайн и разработка</t>
        </is>
      </c>
      <c r="B5" s="42" t="inlineStr">
        <is>
          <t>4–7</t>
        </is>
      </c>
      <c r="C5" s="46">
        <f>SUMIF(Смета!$I$5:$I$14,A5,Смета!$D$5:$D$14)</f>
        <v/>
      </c>
      <c r="D5" s="47">
        <f>SUMIF(Смета!$I$5:$I$14,A5,Смета!$G$5:$G$14)</f>
        <v/>
      </c>
      <c r="E5" s="55">
        <f>IFERROR(D5/$D$7,0)</f>
        <v/>
      </c>
      <c r="F5" s="44" t="inlineStr">
        <is>
          <t>Готовые к публикации страницы: дизайн-макеты, адаптивная вёрстка, реализация на 1С-Битрикс, внедрённая микроразметка</t>
        </is>
      </c>
    </row>
    <row r="6" ht="25.3" customHeight="1" s="35">
      <c r="A6" s="43" t="inlineStr">
        <is>
          <t>III. Запуск и аналитика</t>
        </is>
      </c>
      <c r="B6" s="42" t="inlineStr">
        <is>
          <t>8–10</t>
        </is>
      </c>
      <c r="C6" s="46">
        <f>SUMIF(Смета!$I$5:$I$14,A6,Смета!$D$5:$D$14)</f>
        <v/>
      </c>
      <c r="D6" s="47">
        <f>SUMIF(Смета!$I$5:$I$14,A6,Смета!$G$5:$G$14)</f>
        <v/>
      </c>
      <c r="E6" s="55">
        <f>IFERROR(D6/$D$7,0)</f>
        <v/>
      </c>
      <c r="F6" s="44" t="inlineStr">
        <is>
          <t>Запущенный A/B-тест с настроенными целями, отчёт с рекомендацией по версии-победителю</t>
        </is>
      </c>
    </row>
    <row r="7" ht="15" customHeight="1" s="35">
      <c r="A7" s="56" t="inlineStr">
        <is>
          <t>ИТОГО</t>
        </is>
      </c>
      <c r="B7" s="57" t="n"/>
      <c r="C7" s="58">
        <f>SUM(C4:C6)</f>
        <v/>
      </c>
      <c r="D7" s="58">
        <f>SUM(D4:D6)</f>
        <v/>
      </c>
      <c r="E7" s="59">
        <f>IFERROR(D7/D7,0)</f>
        <v/>
      </c>
      <c r="F7" s="60" t="n"/>
    </row>
    <row r="8" ht="15" customHeight="1" s="35">
      <c r="A8" s="34" t="n"/>
      <c r="B8" s="34" t="n"/>
      <c r="C8" s="43" t="inlineStr">
        <is>
          <t xml:space="preserve">НДС </t>
        </is>
      </c>
      <c r="D8" s="53" t="n">
        <v>0.22</v>
      </c>
      <c r="E8" s="34" t="n"/>
      <c r="F8" s="34" t="n"/>
    </row>
    <row r="9" ht="25.3" customHeight="1" s="35">
      <c r="A9" s="34" t="n"/>
      <c r="B9" s="34" t="n"/>
      <c r="C9" s="43" t="inlineStr">
        <is>
          <t>Итого с НДС(22%)</t>
        </is>
      </c>
      <c r="D9" s="51">
        <f>D7+(D7*D8)</f>
        <v/>
      </c>
      <c r="E9" s="34" t="n"/>
      <c r="F9" s="34" t="n"/>
    </row>
    <row r="10" ht="15" customHeight="1" s="35"/>
    <row r="11" ht="15" customHeight="1" s="35"/>
    <row r="12" ht="15" customHeight="1" s="35"/>
    <row r="13" ht="15" customHeight="1" s="35"/>
    <row r="14" ht="15" customHeight="1" s="35"/>
    <row r="15" ht="15" customHeight="1" s="35"/>
    <row r="16" ht="15" customHeight="1" s="35"/>
    <row r="17" ht="15" customHeight="1" s="35"/>
    <row r="18" ht="15" customHeight="1" s="35"/>
    <row r="19" ht="15" customHeight="1" s="35"/>
    <row r="20" ht="15" customHeight="1" s="35"/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4" activeCellId="0" sqref="D14"/>
    </sheetView>
  </sheetViews>
  <sheetFormatPr baseColWidth="8" defaultColWidth="14.43359375" defaultRowHeight="15" customHeight="1" zeroHeight="0" outlineLevelRow="0"/>
  <cols>
    <col width="10" customWidth="1" style="34" min="1" max="1"/>
    <col width="30" customWidth="1" style="34" min="2" max="2"/>
    <col width="60" customWidth="1" style="34" min="3" max="4"/>
    <col width="8.710000000000001" customWidth="1" style="34" min="5" max="26"/>
  </cols>
  <sheetData>
    <row r="1" ht="17.35" customHeight="1" s="35">
      <c r="A1" s="36" t="inlineStr">
        <is>
          <t>Сценарии альтернативных версий и состав микроразметки</t>
        </is>
      </c>
      <c r="B1" s="34" t="n"/>
      <c r="C1" s="34" t="n"/>
      <c r="D1" s="34" t="n"/>
    </row>
    <row r="2" ht="15" customHeight="1" s="35">
      <c r="A2" s="34" t="n"/>
      <c r="B2" s="34" t="n"/>
      <c r="C2" s="34" t="n"/>
      <c r="D2" s="34" t="n"/>
    </row>
    <row r="3" ht="15" customHeight="1" s="35">
      <c r="A3" s="38" t="inlineStr">
        <is>
          <t>Версия</t>
        </is>
      </c>
      <c r="B3" s="38" t="inlineStr">
        <is>
          <t>Основная цель CTA</t>
        </is>
      </c>
      <c r="C3" s="38" t="inlineStr">
        <is>
          <t>Особенности реализации</t>
        </is>
      </c>
      <c r="D3" s="38" t="inlineStr">
        <is>
          <t>Ключевые элементы страницы</t>
        </is>
      </c>
    </row>
    <row r="4" ht="49.35" customHeight="1" s="35">
      <c r="A4" s="61" t="inlineStr">
        <is>
          <t>A</t>
        </is>
      </c>
      <c r="B4" s="44" t="inlineStr">
        <is>
          <t>Получение информации и разъяснений</t>
        </is>
      </c>
      <c r="C4" s="44" t="inlineStr">
        <is>
          <t>Мотивировать пользователя позвонить для консультации по процедуре, условиям и подготовке, но не для получения медицинских рекомендаций. Явные дисклеймеры о запрете консультаций по телефону</t>
        </is>
      </c>
      <c r="D4" s="44" t="inlineStr">
        <is>
          <t>Телефон как основной CTA, блок «О чём можно спросить по телефону», дисклеймер о недопустимости дистанционных медицинских рекомендаций, часы работы колл-центра</t>
        </is>
      </c>
    </row>
    <row r="5" ht="37.3" customHeight="1" s="35">
      <c r="A5" s="61" t="inlineStr">
        <is>
          <t>B</t>
        </is>
      </c>
      <c r="B5" s="44" t="inlineStr">
        <is>
          <t>Прямая запись на приём к врачу</t>
        </is>
      </c>
      <c r="C5" s="44" t="inlineStr">
        <is>
          <t>Форма или кнопка для записи на консультацию либо операцию. Акцент на профессионализме врачей, опыте клиники, наличии ОМС</t>
        </is>
      </c>
      <c r="D5" s="44" t="inlineStr">
        <is>
          <t>Форма записи в первом экране, блок врачей с квалификацией, блок «Условия по ОМС», перечень документов для записи, отзывы пациентов</t>
        </is>
      </c>
    </row>
    <row r="6" ht="37.3" customHeight="1" s="35">
      <c r="A6" s="61" t="inlineStr">
        <is>
          <t>C</t>
        </is>
      </c>
      <c r="B6" s="44" t="inlineStr">
        <is>
          <t>Получение информационного материала</t>
        </is>
      </c>
      <c r="C6" s="44" t="inlineStr">
        <is>
          <t>Бесплатный чек-лист «Как подготовиться к эндопротезированию», форма для email, акцент на ценности подготовки и снижении тревожности</t>
        </is>
      </c>
      <c r="D6" s="44" t="inlineStr">
        <is>
          <t>Лид-магнит с превью чек-листа, форма email с согласием на обработку персональных данных, блок «Что внутри чек-листа», мягкий вторичный CTA на запись</t>
        </is>
      </c>
    </row>
    <row r="7" ht="15" customHeight="1" s="35">
      <c r="A7" s="34" t="n"/>
      <c r="B7" s="34" t="n"/>
      <c r="C7" s="34" t="n"/>
      <c r="D7" s="34" t="n"/>
    </row>
    <row r="8" ht="15" customHeight="1" s="35">
      <c r="A8" s="34" t="n"/>
      <c r="B8" s="34" t="n"/>
      <c r="C8" s="34" t="n"/>
      <c r="D8" s="34" t="n"/>
    </row>
    <row r="9" ht="15" customHeight="1" s="35">
      <c r="A9" s="62" t="inlineStr">
        <is>
          <t>Микроразметка (JSON-LD)</t>
        </is>
      </c>
      <c r="B9" s="34" t="n"/>
      <c r="C9" s="34" t="n"/>
      <c r="D9" s="34" t="n"/>
    </row>
    <row r="10" ht="25.3" customHeight="1" s="35">
      <c r="A10" s="38" t="inlineStr">
        <is>
          <t>Тип разметки</t>
        </is>
      </c>
      <c r="B10" s="38" t="inlineStr">
        <is>
          <t>Статус</t>
        </is>
      </c>
      <c r="C10" s="38" t="inlineStr">
        <is>
          <t>Что описывает и где размещается</t>
        </is>
      </c>
      <c r="D10" s="34" t="n"/>
    </row>
    <row r="11" ht="25.3" customHeight="1" s="35">
      <c r="A11" s="63" t="inlineStr">
        <is>
          <t>MedicalOrganization</t>
        </is>
      </c>
      <c r="B11" s="64" t="inlineStr">
        <is>
          <t>Обязательно по ТЗ</t>
        </is>
      </c>
      <c r="C11" s="64" t="inlineStr">
        <is>
          <t>Данные клиники: название, адрес, телефон, лицензия, часы работы. Размещается на всех трёх версиях</t>
        </is>
      </c>
      <c r="D11" s="34" t="n"/>
    </row>
    <row r="12" ht="49.35" customHeight="1" s="35">
      <c r="A12" s="63" t="inlineStr">
        <is>
          <t>MedicalWebPage / MedicalProcedure</t>
        </is>
      </c>
      <c r="B12" s="64" t="inlineStr">
        <is>
          <t>Обязательно по ТЗ</t>
        </is>
      </c>
      <c r="C12" s="64" t="inlineStr">
        <is>
          <t>Тип страницы и описание процедуры эндопротезирования: показания, противопоказания, подготовка, реабилитация</t>
        </is>
      </c>
      <c r="D12" s="34" t="n"/>
    </row>
    <row r="13" ht="25.3" customHeight="1" s="35">
      <c r="A13" s="63" t="inlineStr">
        <is>
          <t>BreadcrumbList</t>
        </is>
      </c>
      <c r="B13" s="64" t="inlineStr">
        <is>
          <t>Обязательно по ТЗ</t>
        </is>
      </c>
      <c r="C13" s="64" t="inlineStr">
        <is>
          <t>Хлебные крошки: Главная → Диагностика и лечение → Эндопротезирование</t>
        </is>
      </c>
      <c r="D13" s="34" t="n"/>
    </row>
    <row r="14" ht="25.3" customHeight="1" s="35">
      <c r="A14" s="63" t="inlineStr">
        <is>
          <t>FAQPage</t>
        </is>
      </c>
      <c r="B14" s="64" t="inlineStr">
        <is>
          <t>Сверх требований</t>
        </is>
      </c>
      <c r="C14" s="64" t="inlineStr">
        <is>
          <t>Блок частых вопросов присутствует во всех трёх версиях - даёт расширенный сниппет в выдаче</t>
        </is>
      </c>
      <c r="D14" s="34" t="n"/>
    </row>
    <row r="15" ht="25.3" customHeight="1" s="35">
      <c r="A15" s="63" t="inlineStr">
        <is>
          <t>Physician</t>
        </is>
      </c>
      <c r="B15" s="64" t="inlineStr">
        <is>
          <t>Сверх требований</t>
        </is>
      </c>
      <c r="C15" s="64" t="inlineStr">
        <is>
          <t>Блок врачей: специализация, стаж, учёная степень. Наиболее значим для версии B</t>
        </is>
      </c>
      <c r="D15" s="34" t="n"/>
    </row>
    <row r="16" ht="15" customHeight="1" s="35"/>
    <row r="17" ht="15" customHeight="1" s="35"/>
    <row r="18" ht="15" customHeight="1" s="35"/>
    <row r="19" ht="15" customHeight="1" s="35"/>
    <row r="20" ht="15" customHeight="1" s="35"/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customHeight="1" zeroHeight="0" outlineLevelRow="0"/>
  <cols>
    <col width="6" customWidth="1" style="34" min="1" max="1"/>
    <col width="110" customWidth="1" style="34" min="2" max="2"/>
    <col width="8.710000000000001" customWidth="1" style="34" min="3" max="26"/>
  </cols>
  <sheetData>
    <row r="1" ht="17.35" customHeight="1" s="35">
      <c r="A1" s="36" t="inlineStr">
        <is>
          <t>Допущения и границы работ</t>
        </is>
      </c>
      <c r="B1" s="34" t="n"/>
    </row>
    <row r="2" ht="15" customHeight="1" s="35">
      <c r="A2" s="34" t="n"/>
      <c r="B2" s="34" t="n"/>
    </row>
    <row r="3" ht="15" customHeight="1" s="35">
      <c r="A3" s="62" t="inlineStr">
        <is>
          <t>Допущения</t>
        </is>
      </c>
      <c r="B3" s="34" t="n"/>
    </row>
    <row r="4" ht="25.3" customHeight="1" s="35">
      <c r="A4" s="65" t="inlineStr">
        <is>
          <t>1.</t>
        </is>
      </c>
      <c r="B4" s="66" t="inlineStr">
        <is>
          <t>Медицинская валидация текстов (показания, противопоказания, реабилитация) выполняется профильными врачами Заказчика. Сроки согласования не входят в 25 рабочих дней.</t>
        </is>
      </c>
    </row>
    <row r="5" ht="15" customHeight="1" s="35">
      <c r="A5" s="65" t="inlineStr">
        <is>
          <t>2.</t>
        </is>
      </c>
      <c r="B5" s="66" t="inlineStr">
        <is>
          <t>Фотоматериалы врачей, копии лицензий и актуальный прайс-лист предоставляет Заказчик.</t>
        </is>
      </c>
    </row>
    <row r="6" ht="25.3" customHeight="1" s="35">
      <c r="A6" s="65" t="inlineStr">
        <is>
          <t>3.</t>
        </is>
      </c>
      <c r="B6" s="66" t="inlineStr">
        <is>
          <t>Доступ к административной панели 1С-Битрикс, GitHub-репозиторию и тестовому контуру предоставляется в течение 3 рабочих дней с даты начала работ.</t>
        </is>
      </c>
    </row>
    <row r="7" ht="25.3" customHeight="1" s="35">
      <c r="A7" s="65" t="inlineStr">
        <is>
          <t>4.</t>
        </is>
      </c>
      <c r="B7" s="66" t="inlineStr">
        <is>
          <t>В стоимость включены 2 раунда правок на этапах копирайтинга, прототипирования и дизайна. Последующие правки оплачиваются по ставке соответствующего этапа.</t>
        </is>
      </c>
    </row>
    <row r="8" ht="25.3" customHeight="1" s="35">
      <c r="A8" s="65" t="inlineStr">
        <is>
          <t>5.</t>
        </is>
      </c>
      <c r="B8" s="66" t="inlineStr">
        <is>
          <t>Отзывы пациентов, размещаемые на страницах, предоставляются Заказчиком с письменным согласием пациентов. Тексты отзывов в прототипах носят демонстрационный характер.</t>
        </is>
      </c>
    </row>
    <row r="9" ht="25.3" customHeight="1" s="35">
      <c r="A9" s="65" t="inlineStr">
        <is>
          <t>6.</t>
        </is>
      </c>
      <c r="B9" s="66" t="inlineStr">
        <is>
          <t>На всех версиях размещается предупреждение о наличии противопоказаний и необходимости консультации специалиста (ФЗ «О рекламе», ст. 24).</t>
        </is>
      </c>
    </row>
    <row r="10" ht="15" customHeight="1" s="35">
      <c r="A10" s="65" t="inlineStr">
        <is>
          <t>7.</t>
        </is>
      </c>
      <c r="B10" s="66" t="inlineStr">
        <is>
          <t>Лицензии Яндекс.Метрики и сервиса коллтрекинга оформлены на Заказчика.</t>
        </is>
      </c>
    </row>
    <row r="11" ht="25.3" customHeight="1" s="35">
      <c r="A11" s="65" t="inlineStr">
        <is>
          <t>8.</t>
        </is>
      </c>
      <c r="B11" s="66" t="inlineStr">
        <is>
          <t>Размещение осуществляется на инфраструктуре Заказчика на территории РФ в соответствии с ФЗ № 152-ФЗ «О персональных данных».</t>
        </is>
      </c>
    </row>
    <row r="12" ht="15" customHeight="1" s="35">
      <c r="A12" s="34" t="n"/>
      <c r="B12" s="34" t="n"/>
    </row>
    <row r="13" ht="15" customHeight="1" s="35">
      <c r="A13" s="62" t="inlineStr">
        <is>
          <t>Не входит в стоимость</t>
        </is>
      </c>
      <c r="B13" s="34" t="n"/>
    </row>
    <row r="14" ht="15" customHeight="1" s="35">
      <c r="A14" s="65" t="inlineStr">
        <is>
          <t>1.</t>
        </is>
      </c>
      <c r="B14" s="66" t="inlineStr">
        <is>
          <t>Закупка платного трафика для проведения A/B-теста.</t>
        </is>
      </c>
    </row>
    <row r="15" ht="15" customHeight="1" s="35">
      <c r="A15" s="65" t="inlineStr">
        <is>
          <t>2.</t>
        </is>
      </c>
      <c r="B15" s="66" t="inlineStr">
        <is>
          <t>Приобретение и продление лицензий 1С-Битрикс, Яндекс.Метрики, сервисов коллтрекинга.</t>
        </is>
      </c>
    </row>
    <row r="16" ht="15" customHeight="1" s="35">
      <c r="A16" s="65" t="inlineStr">
        <is>
          <t>3.</t>
        </is>
      </c>
      <c r="B16" s="66" t="inlineStr">
        <is>
          <t>Работы по остальным доменам и субдоменам из Приложения 1.</t>
        </is>
      </c>
    </row>
    <row r="17" ht="15" customHeight="1" s="35">
      <c r="A17" s="65" t="inlineStr">
        <is>
          <t>4.</t>
        </is>
      </c>
      <c r="B17" s="66" t="inlineStr">
        <is>
          <t>Профессиональная фото- и видеосъёмка.</t>
        </is>
      </c>
    </row>
    <row r="18" ht="15" customHeight="1" s="35">
      <c r="A18" s="65" t="inlineStr">
        <is>
          <t>5.</t>
        </is>
      </c>
      <c r="B18" s="66" t="inlineStr">
        <is>
          <t>Разработка страниц по темам, отличным от «Эндопротезирование суставов».</t>
        </is>
      </c>
    </row>
    <row r="19" ht="15" customHeight="1" s="35"/>
    <row r="20" ht="15" customHeight="1" s="35"/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2026-07-29T13:50:58Z</dcterms:created>
  <dcterms:modified xmlns:dcterms="http://purl.org/dc/terms/" xmlns:xsi="http://www.w3.org/2001/XMLSchema-instance" xsi:type="dcterms:W3CDTF">2026-08-11T13:53:52Z</dcterms:modified>
  <cp:revision>4</cp:revision>
</cp:coreProperties>
</file>